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au\OneDrive\Bureau\Polytech\4A\Optimisation discrète\Projet\knapsack_problem\"/>
    </mc:Choice>
  </mc:AlternateContent>
  <xr:revisionPtr revIDLastSave="0" documentId="13_ncr:1_{3F554D84-00B7-450B-B2BB-01C0195CD10C}" xr6:coauthVersionLast="47" xr6:coauthVersionMax="47" xr10:uidLastSave="{00000000-0000-0000-0000-000000000000}"/>
  <bookViews>
    <workbookView xWindow="22932" yWindow="-108" windowWidth="23256" windowHeight="12456" firstSheet="2" activeTab="4" xr2:uid="{FA556888-71C7-44BA-BCFC-48CD02DC929A}"/>
  </bookViews>
  <sheets>
    <sheet name="results_0_fusionné" sheetId="2" r:id="rId1"/>
    <sheet name="results_1_fusionné" sheetId="3" r:id="rId2"/>
    <sheet name="results_3_fusionné" sheetId="4" r:id="rId3"/>
    <sheet name="results_4_fusionné" sheetId="5" r:id="rId4"/>
    <sheet name="results_6_fusionné" sheetId="6" r:id="rId5"/>
    <sheet name="Feuil1" sheetId="1" r:id="rId6"/>
  </sheets>
  <definedNames>
    <definedName name="DonnéesExternes_1" localSheetId="0" hidden="1">'results_0_fusionné'!$A$1:$H$51</definedName>
    <definedName name="DonnéesExternes_1" localSheetId="1" hidden="1">'results_1_fusionné'!$A$1:$H$51</definedName>
    <definedName name="DonnéesExternes_1" localSheetId="2" hidden="1">'results_3_fusionné'!$A$1:$H$51</definedName>
    <definedName name="DonnéesExternes_1" localSheetId="3" hidden="1">'results_4_fusionné'!$A$1:$H$51</definedName>
    <definedName name="DonnéesExternes_1" localSheetId="4" hidden="1">'results_6_fusionné'!$A$1:$H$51</definedName>
  </definedNames>
  <calcPr calcId="191029"/>
  <pivotCaches>
    <pivotCache cacheId="0" r:id="rId7"/>
    <pivotCache cacheId="1" r:id="rId8"/>
    <pivotCache cacheId="2" r:id="rId9"/>
    <pivotCache cacheId="3" r:id="rId10"/>
    <pivotCache cacheId="4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6" l="1"/>
  <c r="B57" i="6"/>
  <c r="I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2" i="5"/>
  <c r="B58" i="5"/>
  <c r="B57" i="4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3" i="4"/>
  <c r="B58" i="4"/>
  <c r="I2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2" i="3"/>
  <c r="B58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2" i="2"/>
  <c r="B58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B57" i="5" l="1"/>
  <c r="B57" i="3"/>
  <c r="B5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525BD7-0350-4B1F-8AF7-C193949383F9}" keepAlive="1" name="Requête - results_0_fusionné" description="Connexion à la requête « results_0_fusionné » dans le classeur." type="5" refreshedVersion="8" background="1" saveData="1">
    <dbPr connection="Provider=Microsoft.Mashup.OleDb.1;Data Source=$Workbook$;Location=results_0_fusionné;Extended Properties=&quot;&quot;" command="SELECT * FROM [results_0_fusionné]"/>
  </connection>
  <connection id="2" xr16:uid="{F78FDA8B-16C5-4C18-82C3-E53CF1DC073C}" keepAlive="1" name="Requête - results_1_fusionné" description="Connexion à la requête « results_1_fusionné » dans le classeur." type="5" refreshedVersion="8" background="1" saveData="1">
    <dbPr connection="Provider=Microsoft.Mashup.OleDb.1;Data Source=$Workbook$;Location=results_1_fusionné;Extended Properties=&quot;&quot;" command="SELECT * FROM [results_1_fusionné]"/>
  </connection>
  <connection id="3" xr16:uid="{34F774D3-03DF-40B7-92C9-112FB03303FB}" keepAlive="1" name="Requête - results_3_fusionné" description="Connexion à la requête « results_3_fusionné » dans le classeur." type="5" refreshedVersion="8" background="1" saveData="1">
    <dbPr connection="Provider=Microsoft.Mashup.OleDb.1;Data Source=$Workbook$;Location=results_3_fusionné;Extended Properties=&quot;&quot;" command="SELECT * FROM [results_3_fusionné]"/>
  </connection>
  <connection id="4" xr16:uid="{77C7578A-0868-4493-AEA9-1D9B462929C6}" keepAlive="1" name="Requête - results_4_fusionné" description="Connexion à la requête « results_4_fusionné » dans le classeur." type="5" refreshedVersion="8" background="1" saveData="1">
    <dbPr connection="Provider=Microsoft.Mashup.OleDb.1;Data Source=$Workbook$;Location=results_4_fusionné;Extended Properties=&quot;&quot;" command="SELECT * FROM [results_4_fusionné]"/>
  </connection>
  <connection id="5" xr16:uid="{36029949-FCC3-4865-B198-EE8B89EE257D}" keepAlive="1" name="Requête - results_6_fusionné" description="Connexion à la requête « results_6_fusionné » dans le classeur." type="5" refreshedVersion="8" background="1" saveData="1">
    <dbPr connection="Provider=Microsoft.Mashup.OleDb.1;Data Source=$Workbook$;Location=results_6_fusionné;Extended Properties=&quot;&quot;" command="SELECT * FROM [results_6_fusionné]"/>
  </connection>
</connections>
</file>

<file path=xl/sharedStrings.xml><?xml version="1.0" encoding="utf-8"?>
<sst xmlns="http://schemas.openxmlformats.org/spreadsheetml/2006/main" count="835" uniqueCount="507">
  <si>
    <t>Nom de la base</t>
  </si>
  <si>
    <t>Nombre d'iteration</t>
  </si>
  <si>
    <t>Taille liste Tabou</t>
  </si>
  <si>
    <t>Poids MAx</t>
  </si>
  <si>
    <t>Total weight</t>
  </si>
  <si>
    <t>Total profit</t>
  </si>
  <si>
    <t>Temps d'execution</t>
  </si>
  <si>
    <t>Fichier solution</t>
  </si>
  <si>
    <t>pi-12-100-1000-001.kna</t>
  </si>
  <si>
    <t>47.827348470687866</t>
  </si>
  <si>
    <t>results/0/item_solutions/pi-12-100-1000-001.kna_1000000_1_items.csv</t>
  </si>
  <si>
    <t>0.0</t>
  </si>
  <si>
    <t>results/0/item_solutions/pi-12-100-1000-001.kna_1000000_10_items.csv</t>
  </si>
  <si>
    <t>0.001162052154541</t>
  </si>
  <si>
    <t>results/0/item_solutions/pi-12-100-1000-001.kna_1000000_15_items.csv</t>
  </si>
  <si>
    <t>results/0/item_solutions/pi-12-100-1000-001.kna_1000000_20_items.csv</t>
  </si>
  <si>
    <t>0.0013794898986816</t>
  </si>
  <si>
    <t>results/0/item_solutions/pi-12-100-1000-001.kna_1000000_5_items.csv</t>
  </si>
  <si>
    <t>4.911705255508423</t>
  </si>
  <si>
    <t>results/0/item_solutions/pi-12-100-1000-001.kna_100000_1_items.csv</t>
  </si>
  <si>
    <t>results/0/item_solutions/pi-12-100-1000-001.kna_100000_10_items.csv</t>
  </si>
  <si>
    <t>3.674217700958252</t>
  </si>
  <si>
    <t>results/0/item_solutions/pi-12-100-1000-001.kna_100000_15_items.csv</t>
  </si>
  <si>
    <t>0.0009984970092773</t>
  </si>
  <si>
    <t>results/0/item_solutions/pi-12-100-1000-001.kna_100000_20_items.csv</t>
  </si>
  <si>
    <t>4.1733338832855225</t>
  </si>
  <si>
    <t>results/0/item_solutions/pi-12-100-1000-001.kna_100000_5_items.csv</t>
  </si>
  <si>
    <t>0.6841146945953369</t>
  </si>
  <si>
    <t>results/0/item_solutions/pi-12-100-1000-001.kna_10000_1_items.csv</t>
  </si>
  <si>
    <t>0.0019941329956054</t>
  </si>
  <si>
    <t>results/0/item_solutions/pi-12-100-1000-001.kna_10000_10_items.csv</t>
  </si>
  <si>
    <t>0.0039925575256347</t>
  </si>
  <si>
    <t>results/0/item_solutions/pi-12-100-1000-001.kna_10000_15_items.csv</t>
  </si>
  <si>
    <t>0.0019953250885009</t>
  </si>
  <si>
    <t>results/0/item_solutions/pi-12-100-1000-001.kna_10000_20_items.csv</t>
  </si>
  <si>
    <t>0.5117642879486084</t>
  </si>
  <si>
    <t>results/0/item_solutions/pi-12-100-1000-001.kna_10000_5_items.csv</t>
  </si>
  <si>
    <t>0.0663702487945556</t>
  </si>
  <si>
    <t>results/0/item_solutions/pi-12-100-1000-001.kna_1000_1_items.csv</t>
  </si>
  <si>
    <t>0.0025446414947509</t>
  </si>
  <si>
    <t>results/0/item_solutions/pi-12-100-1000-001.kna_1000_10_items.csv</t>
  </si>
  <si>
    <t>0.0031938552856445</t>
  </si>
  <si>
    <t>results/0/item_solutions/pi-12-100-1000-001.kna_1000_15_items.csv</t>
  </si>
  <si>
    <t>0.0667009353637695</t>
  </si>
  <si>
    <t>results/0/item_solutions/pi-12-100-1000-001.kna_1000_20_items.csv</t>
  </si>
  <si>
    <t>0.0829310417175293</t>
  </si>
  <si>
    <t>results/0/item_solutions/pi-12-100-1000-001.kna_1000_5_items.csv</t>
  </si>
  <si>
    <t>0.0059912204742431</t>
  </si>
  <si>
    <t>results/0/item_solutions/pi-12-100-1000-001.kna_100_1_items.csv</t>
  </si>
  <si>
    <t>results/0/item_solutions/pi-12-100-1000-001.kna_100_10_items.csv</t>
  </si>
  <si>
    <t>0.0012164115905761</t>
  </si>
  <si>
    <t>results/0/item_solutions/pi-12-100-1000-001.kna_100_15_items.csv</t>
  </si>
  <si>
    <t>0.000993013381958</t>
  </si>
  <si>
    <t>results/0/item_solutions/pi-12-100-1000-001.kna_100_20_items.csv</t>
  </si>
  <si>
    <t>0.0060231685638427</t>
  </si>
  <si>
    <t>results/0/item_solutions/pi-12-100-1000-001.kna_100_5_items.csv</t>
  </si>
  <si>
    <t>25.204922676086422</t>
  </si>
  <si>
    <t>results/0/item_solutions/pi-12-100-1000-001.kna_500000_1_items.csv</t>
  </si>
  <si>
    <t>0.0010476112365722</t>
  </si>
  <si>
    <t>results/0/item_solutions/pi-12-100-1000-001.kna_500000_10_items.csv</t>
  </si>
  <si>
    <t>0.0037882328033447</t>
  </si>
  <si>
    <t>results/0/item_solutions/pi-12-100-1000-001.kna_500000_15_items.csv</t>
  </si>
  <si>
    <t>0.0021235942840576</t>
  </si>
  <si>
    <t>results/0/item_solutions/pi-12-100-1000-001.kna_500000_20_items.csv</t>
  </si>
  <si>
    <t>0.0019843578338623</t>
  </si>
  <si>
    <t>results/0/item_solutions/pi-12-100-1000-001.kna_500000_5_items.csv</t>
  </si>
  <si>
    <t>3.939992904663086</t>
  </si>
  <si>
    <t>results/0/item_solutions/pi-12-100-1000-001.kna_50000_1_items.csv</t>
  </si>
  <si>
    <t>0.0015130043029785</t>
  </si>
  <si>
    <t>results/0/item_solutions/pi-12-100-1000-001.kna_50000_10_items.csv</t>
  </si>
  <si>
    <t>0.0011842250823974</t>
  </si>
  <si>
    <t>results/0/item_solutions/pi-12-100-1000-001.kna_50000_15_items.csv</t>
  </si>
  <si>
    <t>0.0010817050933837</t>
  </si>
  <si>
    <t>results/0/item_solutions/pi-12-100-1000-001.kna_50000_20_items.csv</t>
  </si>
  <si>
    <t>2.343127012252808</t>
  </si>
  <si>
    <t>results/0/item_solutions/pi-12-100-1000-001.kna_50000_5_items.csv</t>
  </si>
  <si>
    <t>0.2890429496765136</t>
  </si>
  <si>
    <t>results/0/item_solutions/pi-12-100-1000-001.kna_5000_1_items.csv</t>
  </si>
  <si>
    <t>results/0/item_solutions/pi-12-100-1000-001.kna_5000_10_items.csv</t>
  </si>
  <si>
    <t>0.0010185241699218</t>
  </si>
  <si>
    <t>results/0/item_solutions/pi-12-100-1000-001.kna_5000_15_items.csv</t>
  </si>
  <si>
    <t>0.0024068355560302</t>
  </si>
  <si>
    <t>results/0/item_solutions/pi-12-100-1000-001.kna_5000_20_items.csv</t>
  </si>
  <si>
    <t>0.0010056495666503</t>
  </si>
  <si>
    <t>results/0/item_solutions/pi-12-100-1000-001.kna_5000_5_items.csv</t>
  </si>
  <si>
    <t>0.0221638679504394</t>
  </si>
  <si>
    <t>results/0/item_solutions/pi-12-100-1000-001.kna_500_1_items.csv</t>
  </si>
  <si>
    <t>0.0334725379943847</t>
  </si>
  <si>
    <t>results/0/item_solutions/pi-12-100-1000-001.kna_500_10_items.csv</t>
  </si>
  <si>
    <t>0.0010435581207275</t>
  </si>
  <si>
    <t>results/0/item_solutions/pi-12-100-1000-001.kna_500_15_items.csv</t>
  </si>
  <si>
    <t>0.0042078495025634</t>
  </si>
  <si>
    <t>results/0/item_solutions/pi-12-100-1000-001.kna_500_20_items.csv</t>
  </si>
  <si>
    <t>results/0/item_solutions/pi-12-100-1000-001.kna_500_5_items.csv</t>
  </si>
  <si>
    <t>0.0239686965942382</t>
  </si>
  <si>
    <t>results/0/item_solutions/pi-12-100-1000-001.kna_50_1_items.csv</t>
  </si>
  <si>
    <t>results/0/item_solutions/pi-12-100-1000-001.kna_50_10_items.csv</t>
  </si>
  <si>
    <t>0.0010437965393066</t>
  </si>
  <si>
    <t>results/0/item_solutions/pi-12-100-1000-001.kna_50_15_items.csv</t>
  </si>
  <si>
    <t>results/0/item_solutions/pi-12-100-1000-001.kna_50_20_items.csv</t>
  </si>
  <si>
    <t>0.0010702610015869</t>
  </si>
  <si>
    <t>results/0/item_solutions/pi-12-100-1000-001.kna_50_5_items.csv</t>
  </si>
  <si>
    <t>tps_nb</t>
  </si>
  <si>
    <t>Exec_time_average</t>
  </si>
  <si>
    <t>Max_total_profit_found</t>
  </si>
  <si>
    <t>Étiquettes de lignes</t>
  </si>
  <si>
    <t>Total général</t>
  </si>
  <si>
    <t>Somme de Total profit</t>
  </si>
  <si>
    <t>Moyenne de Total profit</t>
  </si>
  <si>
    <t>pi-12-1000-1000-001.kna</t>
  </si>
  <si>
    <t>271.08083319664</t>
  </si>
  <si>
    <t>results/1/item_solutions/pi-12-1000-1000-001.kna_1000000_1_items.csv</t>
  </si>
  <si>
    <t>251.1317727565765</t>
  </si>
  <si>
    <t>results/1/item_solutions/pi-12-1000-1000-001.kna_1000000_10_items.csv</t>
  </si>
  <si>
    <t>200.94095134735107</t>
  </si>
  <si>
    <t>results/1/item_solutions/pi-12-1000-1000-001.kna_1000000_15_items.csv</t>
  </si>
  <si>
    <t>267.1831636428833</t>
  </si>
  <si>
    <t>results/1/item_solutions/pi-12-1000-1000-001.kna_1000000_20_items.csv</t>
  </si>
  <si>
    <t>332.2588703632355</t>
  </si>
  <si>
    <t>results/1/item_solutions/pi-12-1000-1000-001.kna_1000000_5_items.csv</t>
  </si>
  <si>
    <t>26.69176745414734</t>
  </si>
  <si>
    <t>results/1/item_solutions/pi-12-1000-1000-001.kna_100000_1_items.csv</t>
  </si>
  <si>
    <t>24.015660285949707</t>
  </si>
  <si>
    <t>results/1/item_solutions/pi-12-1000-1000-001.kna_100000_10_items.csv</t>
  </si>
  <si>
    <t>27.432199716567997</t>
  </si>
  <si>
    <t>results/1/item_solutions/pi-12-1000-1000-001.kna_100000_15_items.csv</t>
  </si>
  <si>
    <t>29.74497103691101</t>
  </si>
  <si>
    <t>results/1/item_solutions/pi-12-1000-1000-001.kna_100000_20_items.csv</t>
  </si>
  <si>
    <t>24.386036157608032</t>
  </si>
  <si>
    <t>results/1/item_solutions/pi-12-1000-1000-001.kna_100000_5_items.csv</t>
  </si>
  <si>
    <t>2.2105422019958496</t>
  </si>
  <si>
    <t>results/1/item_solutions/pi-12-1000-1000-001.kna_10000_1_items.csv</t>
  </si>
  <si>
    <t>2.273202419281006</t>
  </si>
  <si>
    <t>results/1/item_solutions/pi-12-1000-1000-001.kna_10000_10_items.csv</t>
  </si>
  <si>
    <t>2.735210418701172</t>
  </si>
  <si>
    <t>results/1/item_solutions/pi-12-1000-1000-001.kna_10000_15_items.csv</t>
  </si>
  <si>
    <t>2.079288959503174</t>
  </si>
  <si>
    <t>results/1/item_solutions/pi-12-1000-1000-001.kna_10000_20_items.csv</t>
  </si>
  <si>
    <t>1.95346999168396</t>
  </si>
  <si>
    <t>results/1/item_solutions/pi-12-1000-1000-001.kna_10000_5_items.csv</t>
  </si>
  <si>
    <t>0.2186875343322754</t>
  </si>
  <si>
    <t>results/1/item_solutions/pi-12-1000-1000-001.kna_1000_1_items.csv</t>
  </si>
  <si>
    <t>0.2182381153106689</t>
  </si>
  <si>
    <t>results/1/item_solutions/pi-12-1000-1000-001.kna_1000_10_items.csv</t>
  </si>
  <si>
    <t>0.2766904830932617</t>
  </si>
  <si>
    <t>results/1/item_solutions/pi-12-1000-1000-001.kna_1000_15_items.csv</t>
  </si>
  <si>
    <t>0.2378828525543213</t>
  </si>
  <si>
    <t>results/1/item_solutions/pi-12-1000-1000-001.kna_1000_20_items.csv</t>
  </si>
  <si>
    <t>0.2913706302642822</t>
  </si>
  <si>
    <t>results/1/item_solutions/pi-12-1000-1000-001.kna_1000_5_items.csv</t>
  </si>
  <si>
    <t>0.0210342407226562</t>
  </si>
  <si>
    <t>results/1/item_solutions/pi-12-1000-1000-001.kna_100_1_items.csv</t>
  </si>
  <si>
    <t>0.0302066802978515</t>
  </si>
  <si>
    <t>results/1/item_solutions/pi-12-1000-1000-001.kna_100_10_items.csv</t>
  </si>
  <si>
    <t>0.0280330181121826</t>
  </si>
  <si>
    <t>results/1/item_solutions/pi-12-1000-1000-001.kna_100_15_items.csv</t>
  </si>
  <si>
    <t>0.0311417579650878</t>
  </si>
  <si>
    <t>results/1/item_solutions/pi-12-1000-1000-001.kna_100_20_items.csv</t>
  </si>
  <si>
    <t>0.0260205268859863</t>
  </si>
  <si>
    <t>results/1/item_solutions/pi-12-1000-1000-001.kna_100_5_items.csv</t>
  </si>
  <si>
    <t>149.51319432258606</t>
  </si>
  <si>
    <t>results/1/item_solutions/pi-12-1000-1000-001.kna_500000_1_items.csv</t>
  </si>
  <si>
    <t>117.74605417251588</t>
  </si>
  <si>
    <t>results/1/item_solutions/pi-12-1000-1000-001.kna_500000_10_items.csv</t>
  </si>
  <si>
    <t>127.34297037124634</t>
  </si>
  <si>
    <t>results/1/item_solutions/pi-12-1000-1000-001.kna_500000_15_items.csv</t>
  </si>
  <si>
    <t>132.48358607292175</t>
  </si>
  <si>
    <t>results/1/item_solutions/pi-12-1000-1000-001.kna_500000_20_items.csv</t>
  </si>
  <si>
    <t>130.34318709373474</t>
  </si>
  <si>
    <t>results/1/item_solutions/pi-12-1000-1000-001.kna_500000_5_items.csv</t>
  </si>
  <si>
    <t>10.025272369384766</t>
  </si>
  <si>
    <t>results/1/item_solutions/pi-12-1000-1000-001.kna_50000_1_items.csv</t>
  </si>
  <si>
    <t>14.63386583328247</t>
  </si>
  <si>
    <t>results/1/item_solutions/pi-12-1000-1000-001.kna_50000_10_items.csv</t>
  </si>
  <si>
    <t>11.29798698425293</t>
  </si>
  <si>
    <t>results/1/item_solutions/pi-12-1000-1000-001.kna_50000_15_items.csv</t>
  </si>
  <si>
    <t>11.255826711654665</t>
  </si>
  <si>
    <t>results/1/item_solutions/pi-12-1000-1000-001.kna_50000_20_items.csv</t>
  </si>
  <si>
    <t>12.47083592414856</t>
  </si>
  <si>
    <t>results/1/item_solutions/pi-12-1000-1000-001.kna_50000_5_items.csv</t>
  </si>
  <si>
    <t>1.0353460311889648</t>
  </si>
  <si>
    <t>results/1/item_solutions/pi-12-1000-1000-001.kna_5000_1_items.csv</t>
  </si>
  <si>
    <t>1.2026267051696775</t>
  </si>
  <si>
    <t>results/1/item_solutions/pi-12-1000-1000-001.kna_5000_10_items.csv</t>
  </si>
  <si>
    <t>1.0795416831970217</t>
  </si>
  <si>
    <t>results/1/item_solutions/pi-12-1000-1000-001.kna_5000_15_items.csv</t>
  </si>
  <si>
    <t>1.3187153339385986</t>
  </si>
  <si>
    <t>results/1/item_solutions/pi-12-1000-1000-001.kna_5000_20_items.csv</t>
  </si>
  <si>
    <t>1.2598962783813477</t>
  </si>
  <si>
    <t>results/1/item_solutions/pi-12-1000-1000-001.kna_5000_5_items.csv</t>
  </si>
  <si>
    <t>0.11668062210083</t>
  </si>
  <si>
    <t>results/1/item_solutions/pi-12-1000-1000-001.kna_500_1_items.csv</t>
  </si>
  <si>
    <t>0.1127166748046875</t>
  </si>
  <si>
    <t>results/1/item_solutions/pi-12-1000-1000-001.kna_500_10_items.csv</t>
  </si>
  <si>
    <t>0.1071124076843261</t>
  </si>
  <si>
    <t>results/1/item_solutions/pi-12-1000-1000-001.kna_500_15_items.csv</t>
  </si>
  <si>
    <t>0.1321973800659179</t>
  </si>
  <si>
    <t>results/1/item_solutions/pi-12-1000-1000-001.kna_500_20_items.csv</t>
  </si>
  <si>
    <t>0.1184883117675781</t>
  </si>
  <si>
    <t>results/1/item_solutions/pi-12-1000-1000-001.kna_500_5_items.csv</t>
  </si>
  <si>
    <t>0.0100011825561523</t>
  </si>
  <si>
    <t>results/1/item_solutions/pi-12-1000-1000-001.kna_50_1_items.csv</t>
  </si>
  <si>
    <t>0.0145032405853271</t>
  </si>
  <si>
    <t>results/1/item_solutions/pi-12-1000-1000-001.kna_50_10_items.csv</t>
  </si>
  <si>
    <t>0.0119996070861816</t>
  </si>
  <si>
    <t>results/1/item_solutions/pi-12-1000-1000-001.kna_50_15_items.csv</t>
  </si>
  <si>
    <t>0.0169992446899414</t>
  </si>
  <si>
    <t>results/1/item_solutions/pi-12-1000-1000-001.kna_50_20_items.csv</t>
  </si>
  <si>
    <t>0.0120341777801513</t>
  </si>
  <si>
    <t>results/1/item_solutions/pi-12-1000-1000-001.kna_50_5_items.csv</t>
  </si>
  <si>
    <t>pi-13-100-1000-001.kna</t>
  </si>
  <si>
    <t>32.525567293167114</t>
  </si>
  <si>
    <t>results/3/item_solutions/pi-13-100-1000-001.kna_1000000_1_items.csv</t>
  </si>
  <si>
    <t>32.90218544006348</t>
  </si>
  <si>
    <t>results/3/item_solutions/pi-13-100-1000-001.kna_1000000_10_items.csv</t>
  </si>
  <si>
    <t>34.493696451187134</t>
  </si>
  <si>
    <t>results/3/item_solutions/pi-13-100-1000-001.kna_1000000_15_items.csv</t>
  </si>
  <si>
    <t>33.52549433708191</t>
  </si>
  <si>
    <t>results/3/item_solutions/pi-13-100-1000-001.kna_1000000_20_items.csv</t>
  </si>
  <si>
    <t>28.66398549079895</t>
  </si>
  <si>
    <t>results/3/item_solutions/pi-13-100-1000-001.kna_1000000_5_items.csv</t>
  </si>
  <si>
    <t>2.9671339988708496</t>
  </si>
  <si>
    <t>results/3/item_solutions/pi-13-100-1000-001.kna_100000_1_items.csv</t>
  </si>
  <si>
    <t>3.2131130695343018</t>
  </si>
  <si>
    <t>results/3/item_solutions/pi-13-100-1000-001.kna_100000_10_items.csv</t>
  </si>
  <si>
    <t>3.614180326461792</t>
  </si>
  <si>
    <t>results/3/item_solutions/pi-13-100-1000-001.kna_100000_15_items.csv</t>
  </si>
  <si>
    <t>3.517341375350952</t>
  </si>
  <si>
    <t>results/3/item_solutions/pi-13-100-1000-001.kna_100000_20_items.csv</t>
  </si>
  <si>
    <t>3.6816494464874263</t>
  </si>
  <si>
    <t>results/3/item_solutions/pi-13-100-1000-001.kna_100000_5_items.csv</t>
  </si>
  <si>
    <t>0.3237948417663574</t>
  </si>
  <si>
    <t>results/3/item_solutions/pi-13-100-1000-001.kna_10000_1_items.csv</t>
  </si>
  <si>
    <t>0.3486459255218506</t>
  </si>
  <si>
    <t>results/3/item_solutions/pi-13-100-1000-001.kna_10000_10_items.csv</t>
  </si>
  <si>
    <t>0.3667256832122803</t>
  </si>
  <si>
    <t>results/3/item_solutions/pi-13-100-1000-001.kna_10000_15_items.csv</t>
  </si>
  <si>
    <t>0.3322145938873291</t>
  </si>
  <si>
    <t>results/3/item_solutions/pi-13-100-1000-001.kna_10000_20_items.csv</t>
  </si>
  <si>
    <t>0.3256237506866455</t>
  </si>
  <si>
    <t>results/3/item_solutions/pi-13-100-1000-001.kna_10000_5_items.csv</t>
  </si>
  <si>
    <t>0.0319695472717285</t>
  </si>
  <si>
    <t>results/3/item_solutions/pi-13-100-1000-001.kna_1000_1_items.csv</t>
  </si>
  <si>
    <t>0.0405163764953613</t>
  </si>
  <si>
    <t>results/3/item_solutions/pi-13-100-1000-001.kna_1000_10_items.csv</t>
  </si>
  <si>
    <t>0.035041332244873</t>
  </si>
  <si>
    <t>results/3/item_solutions/pi-13-100-1000-001.kna_1000_15_items.csv</t>
  </si>
  <si>
    <t>0.0341572761535644</t>
  </si>
  <si>
    <t>results/3/item_solutions/pi-13-100-1000-001.kna_1000_20_items.csv</t>
  </si>
  <si>
    <t>0.0320005416870117</t>
  </si>
  <si>
    <t>results/3/item_solutions/pi-13-100-1000-001.kna_1000_5_items.csv</t>
  </si>
  <si>
    <t>0.0030357837677001</t>
  </si>
  <si>
    <t>results/3/item_solutions/pi-13-100-1000-001.kna_100_1_items.csv</t>
  </si>
  <si>
    <t>results/3/item_solutions/pi-13-100-1000-001.kna_100_10_items.csv</t>
  </si>
  <si>
    <t>0.003962755203247</t>
  </si>
  <si>
    <t>results/3/item_solutions/pi-13-100-1000-001.kna_100_15_items.csv</t>
  </si>
  <si>
    <t>0.0039992332458496</t>
  </si>
  <si>
    <t>results/3/item_solutions/pi-13-100-1000-001.kna_100_20_items.csv</t>
  </si>
  <si>
    <t>0.0029983520507812</t>
  </si>
  <si>
    <t>results/3/item_solutions/pi-13-100-1000-001.kna_100_5_items.csv</t>
  </si>
  <si>
    <t>18.64244627952576</t>
  </si>
  <si>
    <t>results/3/item_solutions/pi-13-100-1000-001.kna_500000_1_items.csv</t>
  </si>
  <si>
    <t>17.75822114944458</t>
  </si>
  <si>
    <t>results/3/item_solutions/pi-13-100-1000-001.kna_500000_10_items.csv</t>
  </si>
  <si>
    <t>22.019073486328125</t>
  </si>
  <si>
    <t>results/3/item_solutions/pi-13-100-1000-001.kna_500000_15_items.csv</t>
  </si>
  <si>
    <t>23.397507667541504</t>
  </si>
  <si>
    <t>results/3/item_solutions/pi-13-100-1000-001.kna_500000_20_items.csv</t>
  </si>
  <si>
    <t>15.385166645050049</t>
  </si>
  <si>
    <t>results/3/item_solutions/pi-13-100-1000-001.kna_500000_5_items.csv</t>
  </si>
  <si>
    <t>1.473513126373291</t>
  </si>
  <si>
    <t>results/3/item_solutions/pi-13-100-1000-001.kna_50000_1_items.csv</t>
  </si>
  <si>
    <t>1.6426265239715576</t>
  </si>
  <si>
    <t>results/3/item_solutions/pi-13-100-1000-001.kna_50000_10_items.csv</t>
  </si>
  <si>
    <t>1.6228981018066406</t>
  </si>
  <si>
    <t>results/3/item_solutions/pi-13-100-1000-001.kna_50000_15_items.csv</t>
  </si>
  <si>
    <t>1.7622015476226809</t>
  </si>
  <si>
    <t>results/3/item_solutions/pi-13-100-1000-001.kna_50000_20_items.csv</t>
  </si>
  <si>
    <t>1.6156044006347656</t>
  </si>
  <si>
    <t>results/3/item_solutions/pi-13-100-1000-001.kna_50000_5_items.csv</t>
  </si>
  <si>
    <t>0.1520452499389648</t>
  </si>
  <si>
    <t>results/3/item_solutions/pi-13-100-1000-001.kna_5000_1_items.csv</t>
  </si>
  <si>
    <t>0.156991958618164</t>
  </si>
  <si>
    <t>results/3/item_solutions/pi-13-100-1000-001.kna_5000_10_items.csv</t>
  </si>
  <si>
    <t>0.166736364364624</t>
  </si>
  <si>
    <t>results/3/item_solutions/pi-13-100-1000-001.kna_5000_15_items.csv</t>
  </si>
  <si>
    <t>0.1861524581909179</t>
  </si>
  <si>
    <t>results/3/item_solutions/pi-13-100-1000-001.kna_5000_20_items.csv</t>
  </si>
  <si>
    <t>0.1572208404541015</t>
  </si>
  <si>
    <t>results/3/item_solutions/pi-13-100-1000-001.kna_5000_5_items.csv</t>
  </si>
  <si>
    <t>0.0199661254882812</t>
  </si>
  <si>
    <t>results/3/item_solutions/pi-13-100-1000-001.kna_500_1_items.csv</t>
  </si>
  <si>
    <t>0.0159835815429687</t>
  </si>
  <si>
    <t>results/3/item_solutions/pi-13-100-1000-001.kna_500_10_items.csv</t>
  </si>
  <si>
    <t>0.0150339603424072</t>
  </si>
  <si>
    <t>results/3/item_solutions/pi-13-100-1000-001.kna_500_15_items.csv</t>
  </si>
  <si>
    <t>0.0184037685394287</t>
  </si>
  <si>
    <t>results/3/item_solutions/pi-13-100-1000-001.kna_500_20_items.csv</t>
  </si>
  <si>
    <t>0.0187957286834716</t>
  </si>
  <si>
    <t>results/3/item_solutions/pi-13-100-1000-001.kna_500_5_items.csv</t>
  </si>
  <si>
    <t>0.0019991397857666</t>
  </si>
  <si>
    <t>results/3/item_solutions/pi-13-100-1000-001.kna_50_1_items.csv</t>
  </si>
  <si>
    <t>0.0020153522491455</t>
  </si>
  <si>
    <t>results/3/item_solutions/pi-13-100-1000-001.kna_50_10_items.csv</t>
  </si>
  <si>
    <t>0.0020334720611572</t>
  </si>
  <si>
    <t>results/3/item_solutions/pi-13-100-1000-001.kna_50_15_items.csv</t>
  </si>
  <si>
    <t>0.0020322799682617</t>
  </si>
  <si>
    <t>results/3/item_solutions/pi-13-100-1000-001.kna_50_20_items.csv</t>
  </si>
  <si>
    <t>0.0020039081573486</t>
  </si>
  <si>
    <t>results/3/item_solutions/pi-13-100-1000-001.kna_50_5_items.csv</t>
  </si>
  <si>
    <t>pi-13-1000-1000-001.kna</t>
  </si>
  <si>
    <t>213.026136636734</t>
  </si>
  <si>
    <t>results/4/item_solutions/pi-13-1000-1000-001.kna_1000000_1_items.csv</t>
  </si>
  <si>
    <t>259.6795561313629</t>
  </si>
  <si>
    <t>results/4/item_solutions/pi-13-1000-1000-001.kna_1000000_10_items.csv</t>
  </si>
  <si>
    <t>260.35935616493225</t>
  </si>
  <si>
    <t>results/4/item_solutions/pi-13-1000-1000-001.kna_1000000_15_items.csv</t>
  </si>
  <si>
    <t>268.4213345050812</t>
  </si>
  <si>
    <t>results/4/item_solutions/pi-13-1000-1000-001.kna_1000000_20_items.csv</t>
  </si>
  <si>
    <t>239.14586734771729</t>
  </si>
  <si>
    <t>results/4/item_solutions/pi-13-1000-1000-001.kna_1000000_5_items.csv</t>
  </si>
  <si>
    <t>25.41683888435364</t>
  </si>
  <si>
    <t>results/4/item_solutions/pi-13-1000-1000-001.kna_100000_1_items.csv</t>
  </si>
  <si>
    <t>25.507731199264526</t>
  </si>
  <si>
    <t>results/4/item_solutions/pi-13-1000-1000-001.kna_100000_10_items.csv</t>
  </si>
  <si>
    <t>24.171571731567383</t>
  </si>
  <si>
    <t>results/4/item_solutions/pi-13-1000-1000-001.kna_100000_15_items.csv</t>
  </si>
  <si>
    <t>24.58322811126709</t>
  </si>
  <si>
    <t>results/4/item_solutions/pi-13-1000-1000-001.kna_100000_20_items.csv</t>
  </si>
  <si>
    <t>29.87107563018799</t>
  </si>
  <si>
    <t>results/4/item_solutions/pi-13-1000-1000-001.kna_100000_5_items.csv</t>
  </si>
  <si>
    <t>2.506472110748291</t>
  </si>
  <si>
    <t>results/4/item_solutions/pi-13-1000-1000-001.kna_10000_1_items.csv</t>
  </si>
  <si>
    <t>2.1455841064453125</t>
  </si>
  <si>
    <t>results/4/item_solutions/pi-13-1000-1000-001.kna_10000_10_items.csv</t>
  </si>
  <si>
    <t>2.508488416671753</t>
  </si>
  <si>
    <t>results/4/item_solutions/pi-13-1000-1000-001.kna_10000_15_items.csv</t>
  </si>
  <si>
    <t>2.609340190887451</t>
  </si>
  <si>
    <t>results/4/item_solutions/pi-13-1000-1000-001.kna_10000_20_items.csv</t>
  </si>
  <si>
    <t>2.311819553375244</t>
  </si>
  <si>
    <t>results/4/item_solutions/pi-13-1000-1000-001.kna_10000_5_items.csv</t>
  </si>
  <si>
    <t>0.2347142696380615</t>
  </si>
  <si>
    <t>results/4/item_solutions/pi-13-1000-1000-001.kna_1000_1_items.csv</t>
  </si>
  <si>
    <t>0.2636470794677734</t>
  </si>
  <si>
    <t>results/4/item_solutions/pi-13-1000-1000-001.kna_1000_10_items.csv</t>
  </si>
  <si>
    <t>0.2306275367736816</t>
  </si>
  <si>
    <t>results/4/item_solutions/pi-13-1000-1000-001.kna_1000_15_items.csv</t>
  </si>
  <si>
    <t>0.2509124279022217</t>
  </si>
  <si>
    <t>results/4/item_solutions/pi-13-1000-1000-001.kna_1000_20_items.csv</t>
  </si>
  <si>
    <t>0.2347674369812011</t>
  </si>
  <si>
    <t>results/4/item_solutions/pi-13-1000-1000-001.kna_1000_5_items.csv</t>
  </si>
  <si>
    <t>0.0279996395111084</t>
  </si>
  <si>
    <t>results/4/item_solutions/pi-13-1000-1000-001.kna_100_1_items.csv</t>
  </si>
  <si>
    <t>0.0239753723144531</t>
  </si>
  <si>
    <t>results/4/item_solutions/pi-13-1000-1000-001.kna_100_10_items.csv</t>
  </si>
  <si>
    <t>0.0299999713897705</t>
  </si>
  <si>
    <t>results/4/item_solutions/pi-13-1000-1000-001.kna_100_15_items.csv</t>
  </si>
  <si>
    <t>0.0240423679351806</t>
  </si>
  <si>
    <t>results/4/item_solutions/pi-13-1000-1000-001.kna_100_20_items.csv</t>
  </si>
  <si>
    <t>0.0290296077728271</t>
  </si>
  <si>
    <t>results/4/item_solutions/pi-13-1000-1000-001.kna_100_5_items.csv</t>
  </si>
  <si>
    <t>99.01526808738708</t>
  </si>
  <si>
    <t>results/4/item_solutions/pi-13-1000-1000-001.kna_500000_1_items.csv</t>
  </si>
  <si>
    <t>143.12851238250732</t>
  </si>
  <si>
    <t>results/4/item_solutions/pi-13-1000-1000-001.kna_500000_10_items.csv</t>
  </si>
  <si>
    <t>151.14641952514648</t>
  </si>
  <si>
    <t>results/4/item_solutions/pi-13-1000-1000-001.kna_500000_15_items.csv</t>
  </si>
  <si>
    <t>125.42586922645567</t>
  </si>
  <si>
    <t>results/4/item_solutions/pi-13-1000-1000-001.kna_500000_20_items.csv</t>
  </si>
  <si>
    <t>133.3496572971344</t>
  </si>
  <si>
    <t>results/4/item_solutions/pi-13-1000-1000-001.kna_500000_5_items.csv</t>
  </si>
  <si>
    <t>11.113141298294067</t>
  </si>
  <si>
    <t>results/4/item_solutions/pi-13-1000-1000-001.kna_50000_1_items.csv</t>
  </si>
  <si>
    <t>11.99353551864624</t>
  </si>
  <si>
    <t>results/4/item_solutions/pi-13-1000-1000-001.kna_50000_10_items.csv</t>
  </si>
  <si>
    <t>15.071959257125854</t>
  </si>
  <si>
    <t>results/4/item_solutions/pi-13-1000-1000-001.kna_50000_15_items.csv</t>
  </si>
  <si>
    <t>13.135695457458496</t>
  </si>
  <si>
    <t>results/4/item_solutions/pi-13-1000-1000-001.kna_50000_20_items.csv</t>
  </si>
  <si>
    <t>11.11534833908081</t>
  </si>
  <si>
    <t>results/4/item_solutions/pi-13-1000-1000-001.kna_50000_5_items.csv</t>
  </si>
  <si>
    <t>1.2119309902191162</t>
  </si>
  <si>
    <t>results/4/item_solutions/pi-13-1000-1000-001.kna_5000_1_items.csv</t>
  </si>
  <si>
    <t>1.4484531879425049</t>
  </si>
  <si>
    <t>results/4/item_solutions/pi-13-1000-1000-001.kna_5000_10_items.csv</t>
  </si>
  <si>
    <t>1.2206552028656006</t>
  </si>
  <si>
    <t>results/4/item_solutions/pi-13-1000-1000-001.kna_5000_15_items.csv</t>
  </si>
  <si>
    <t>1.21797513961792</t>
  </si>
  <si>
    <t>results/4/item_solutions/pi-13-1000-1000-001.kna_5000_20_items.csv</t>
  </si>
  <si>
    <t>1.3949222564697266</t>
  </si>
  <si>
    <t>results/4/item_solutions/pi-13-1000-1000-001.kna_5000_5_items.csv</t>
  </si>
  <si>
    <t>0.1075139045715332</t>
  </si>
  <si>
    <t>results/4/item_solutions/pi-13-1000-1000-001.kna_500_1_items.csv</t>
  </si>
  <si>
    <t>0.121551513671875</t>
  </si>
  <si>
    <t>results/4/item_solutions/pi-13-1000-1000-001.kna_500_10_items.csv</t>
  </si>
  <si>
    <t>0.1361401081085205</t>
  </si>
  <si>
    <t>results/4/item_solutions/pi-13-1000-1000-001.kna_500_15_items.csv</t>
  </si>
  <si>
    <t>0.1275420188903808</t>
  </si>
  <si>
    <t>results/4/item_solutions/pi-13-1000-1000-001.kna_500_20_items.csv</t>
  </si>
  <si>
    <t>0.1210343837738037</t>
  </si>
  <si>
    <t>results/4/item_solutions/pi-13-1000-1000-001.kna_500_5_items.csv</t>
  </si>
  <si>
    <t>0.011998176574707</t>
  </si>
  <si>
    <t>results/4/item_solutions/pi-13-1000-1000-001.kna_50_1_items.csv</t>
  </si>
  <si>
    <t>0.0150332450866699</t>
  </si>
  <si>
    <t>results/4/item_solutions/pi-13-1000-1000-001.kna_50_10_items.csv</t>
  </si>
  <si>
    <t>0.0170750617980957</t>
  </si>
  <si>
    <t>results/4/item_solutions/pi-13-1000-1000-001.kna_50_15_items.csv</t>
  </si>
  <si>
    <t>0.0139977931976318</t>
  </si>
  <si>
    <t>results/4/item_solutions/pi-13-1000-1000-001.kna_50_20_items.csv</t>
  </si>
  <si>
    <t>0.0130348205566406</t>
  </si>
  <si>
    <t>results/4/item_solutions/pi-13-1000-1000-001.kna_50_5_items.csv</t>
  </si>
  <si>
    <t>pi-15-100-1000-001.kna</t>
  </si>
  <si>
    <t>19.119575262069706</t>
  </si>
  <si>
    <t>results/6/item_solutions/pi-15-100-1000-001.kna_1000000_1_items.csv</t>
  </si>
  <si>
    <t>0.0009691715240478</t>
  </si>
  <si>
    <t>results/6/item_solutions/pi-15-100-1000-001.kna_1000000_10_items.csv</t>
  </si>
  <si>
    <t>0.0019989013671875</t>
  </si>
  <si>
    <t>results/6/item_solutions/pi-15-100-1000-001.kna_1000000_15_items.csv</t>
  </si>
  <si>
    <t>0.0010018348693847</t>
  </si>
  <si>
    <t>results/6/item_solutions/pi-15-100-1000-001.kna_1000000_20_items.csv</t>
  </si>
  <si>
    <t>23.432671546936035</t>
  </si>
  <si>
    <t>results/6/item_solutions/pi-15-100-1000-001.kna_1000000_5_items.csv</t>
  </si>
  <si>
    <t>1.9012548923492432</t>
  </si>
  <si>
    <t>results/6/item_solutions/pi-15-100-1000-001.kna_100000_1_items.csv</t>
  </si>
  <si>
    <t>0.0010004043579101</t>
  </si>
  <si>
    <t>results/6/item_solutions/pi-15-100-1000-001.kna_100000_10_items.csv</t>
  </si>
  <si>
    <t>2.513124704360962</t>
  </si>
  <si>
    <t>results/6/item_solutions/pi-15-100-1000-001.kna_100000_15_items.csv</t>
  </si>
  <si>
    <t>2.3696627616882324</t>
  </si>
  <si>
    <t>results/6/item_solutions/pi-15-100-1000-001.kna_100000_20_items.csv</t>
  </si>
  <si>
    <t>2.176194429397583</t>
  </si>
  <si>
    <t>results/6/item_solutions/pi-15-100-1000-001.kna_100000_5_items.csv</t>
  </si>
  <si>
    <t>0.20918869972229</t>
  </si>
  <si>
    <t>results/6/item_solutions/pi-15-100-1000-001.kna_10000_1_items.csv</t>
  </si>
  <si>
    <t>0.2362246513366699</t>
  </si>
  <si>
    <t>results/6/item_solutions/pi-15-100-1000-001.kna_10000_10_items.csv</t>
  </si>
  <si>
    <t>0.0009679794311523</t>
  </si>
  <si>
    <t>results/6/item_solutions/pi-15-100-1000-001.kna_10000_15_items.csv</t>
  </si>
  <si>
    <t>0.0009963512420654</t>
  </si>
  <si>
    <t>results/6/item_solutions/pi-15-100-1000-001.kna_10000_20_items.csv</t>
  </si>
  <si>
    <t>0.2845633029937744</t>
  </si>
  <si>
    <t>results/6/item_solutions/pi-15-100-1000-001.kna_10000_5_items.csv</t>
  </si>
  <si>
    <t>0.0230319499969482</t>
  </si>
  <si>
    <t>results/6/item_solutions/pi-15-100-1000-001.kna_1000_1_items.csv</t>
  </si>
  <si>
    <t>0.0239992141723632</t>
  </si>
  <si>
    <t>results/6/item_solutions/pi-15-100-1000-001.kna_1000_10_items.csv</t>
  </si>
  <si>
    <t>0.0010032653808593</t>
  </si>
  <si>
    <t>results/6/item_solutions/pi-15-100-1000-001.kna_1000_15_items.csv</t>
  </si>
  <si>
    <t>results/6/item_solutions/pi-15-100-1000-001.kna_1000_20_items.csv</t>
  </si>
  <si>
    <t>0.0231609344482421</t>
  </si>
  <si>
    <t>results/6/item_solutions/pi-15-100-1000-001.kna_1000_5_items.csv</t>
  </si>
  <si>
    <t>0.0030345916748046</t>
  </si>
  <si>
    <t>results/6/item_solutions/pi-15-100-1000-001.kna_100_1_items.csv</t>
  </si>
  <si>
    <t>0.0019981861114501</t>
  </si>
  <si>
    <t>results/6/item_solutions/pi-15-100-1000-001.kna_100_10_items.csv</t>
  </si>
  <si>
    <t>0.0040004253387451</t>
  </si>
  <si>
    <t>results/6/item_solutions/pi-15-100-1000-001.kna_100_15_items.csv</t>
  </si>
  <si>
    <t>0.0010011196136474</t>
  </si>
  <si>
    <t>results/6/item_solutions/pi-15-100-1000-001.kna_100_20_items.csv</t>
  </si>
  <si>
    <t>0.0030016899108886</t>
  </si>
  <si>
    <t>results/6/item_solutions/pi-15-100-1000-001.kna_100_5_items.csv</t>
  </si>
  <si>
    <t>12.26422953605652</t>
  </si>
  <si>
    <t>results/6/item_solutions/pi-15-100-1000-001.kna_500000_1_items.csv</t>
  </si>
  <si>
    <t>12.32103395462036</t>
  </si>
  <si>
    <t>results/6/item_solutions/pi-15-100-1000-001.kna_500000_10_items.csv</t>
  </si>
  <si>
    <t>0.0009729862213134</t>
  </si>
  <si>
    <t>results/6/item_solutions/pi-15-100-1000-001.kna_500000_15_items.csv</t>
  </si>
  <si>
    <t>0.0020327568054199</t>
  </si>
  <si>
    <t>results/6/item_solutions/pi-15-100-1000-001.kna_500000_20_items.csv</t>
  </si>
  <si>
    <t>12.38166856765747</t>
  </si>
  <si>
    <t>results/6/item_solutions/pi-15-100-1000-001.kna_500000_5_items.csv</t>
  </si>
  <si>
    <t>0.9910316467285156</t>
  </si>
  <si>
    <t>results/6/item_solutions/pi-15-100-1000-001.kna_50000_1_items.csv</t>
  </si>
  <si>
    <t>1.3269388675689695</t>
  </si>
  <si>
    <t>results/6/item_solutions/pi-15-100-1000-001.kna_50000_10_items.csv</t>
  </si>
  <si>
    <t>results/6/item_solutions/pi-15-100-1000-001.kna_50000_15_items.csv</t>
  </si>
  <si>
    <t>0.0010085105895996</t>
  </si>
  <si>
    <t>results/6/item_solutions/pi-15-100-1000-001.kna_50000_20_items.csv</t>
  </si>
  <si>
    <t>1.4089365005493164</t>
  </si>
  <si>
    <t>results/6/item_solutions/pi-15-100-1000-001.kna_50000_5_items.csv</t>
  </si>
  <si>
    <t>0.1065914630889892</t>
  </si>
  <si>
    <t>results/6/item_solutions/pi-15-100-1000-001.kna_5000_1_items.csv</t>
  </si>
  <si>
    <t>0.0009591579437255</t>
  </si>
  <si>
    <t>results/6/item_solutions/pi-15-100-1000-001.kna_5000_10_items.csv</t>
  </si>
  <si>
    <t>0.0009996891021728</t>
  </si>
  <si>
    <t>results/6/item_solutions/pi-15-100-1000-001.kna_5000_15_items.csv</t>
  </si>
  <si>
    <t>0.0009646415710449</t>
  </si>
  <si>
    <t>results/6/item_solutions/pi-15-100-1000-001.kna_5000_20_items.csv</t>
  </si>
  <si>
    <t>0.1102602481842041</t>
  </si>
  <si>
    <t>results/6/item_solutions/pi-15-100-1000-001.kna_5000_5_items.csv</t>
  </si>
  <si>
    <t>0.0101048946380615</t>
  </si>
  <si>
    <t>results/6/item_solutions/pi-15-100-1000-001.kna_500_1_items.csv</t>
  </si>
  <si>
    <t>0.0121428966522216</t>
  </si>
  <si>
    <t>results/6/item_solutions/pi-15-100-1000-001.kna_500_10_items.csv</t>
  </si>
  <si>
    <t>results/6/item_solutions/pi-15-100-1000-001.kna_500_15_items.csv</t>
  </si>
  <si>
    <t>0.0010371208190917</t>
  </si>
  <si>
    <t>results/6/item_solutions/pi-15-100-1000-001.kna_500_20_items.csv</t>
  </si>
  <si>
    <t>0.0110344886779785</t>
  </si>
  <si>
    <t>results/6/item_solutions/pi-15-100-1000-001.kna_500_5_items.csv</t>
  </si>
  <si>
    <t>0.0020036697387695</t>
  </si>
  <si>
    <t>results/6/item_solutions/pi-15-100-1000-001.kna_50_1_items.csv</t>
  </si>
  <si>
    <t>results/6/item_solutions/pi-15-100-1000-001.kna_50_10_items.csv</t>
  </si>
  <si>
    <t>results/6/item_solutions/pi-15-100-1000-001.kna_50_15_items.csv</t>
  </si>
  <si>
    <t>0.0019998550415039</t>
  </si>
  <si>
    <t>results/6/item_solutions/pi-15-100-1000-001.kna_50_20_items.csv</t>
  </si>
  <si>
    <t>0.0009932518005371</t>
  </si>
  <si>
    <t>results/6/item_solutions/pi-15-100-1000-001.kna_50_5_items.csv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</si>
</sst>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4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[résultat_Tabou_v2.xlsx]results_0_fusionné!Tableau croisé dynamique3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PROFIT/ITERATIONS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'results_0_fusionné'!$B$60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'results_0_fusionné'!$B$61:$B$71</c:f>
              <c:numCache>
                <c:formatCode>General</c:formatCode>
                <c:ptCount val="10"/>
                <c:pt idx="0">
                  <c:v>938.2</c:v>
                </c:pt>
                <c:pt idx="1">
                  <c:v>970</c:v>
                </c:pt>
                <c:pt idx="2">
                  <c:v>930.6</c:v>
                </c:pt>
                <c:pt idx="3">
                  <c:v>929.2</c:v>
                </c:pt>
                <c:pt idx="4">
                  <c:v>930.6</c:v>
                </c:pt>
                <c:pt idx="5">
                  <c:v>938.2</c:v>
                </c:pt>
                <c:pt idx="6">
                  <c:v>970</c:v>
                </c:pt>
                <c:pt idx="7">
                  <c:v>970</c:v>
                </c:pt>
                <c:pt idx="8">
                  <c:v>970</c:v>
                </c:pt>
                <c:pt idx="9">
                  <c:v>970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65-4324-8DD9-F2229017D29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098082319"/>
        <c:axId val="1098081839"/>
      </c:barChart>
      <c:catAx>
        <c:axId val="1098082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98081839"/>
        <c:crosses val="autoZero"/>
        <c:auto val="1"/>
        <c:lblAlgn val="ctr"/>
        <c:lblOffset val="100"/>
        <c:noMultiLvlLbl val="0"/>
      </c:catAx>
      <c:valAx>
        <c:axId val="10980818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8082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[résultat_Tabou_v2.xlsx]results_0_fusionné!Tableau croisé dynamique4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'results_0_fusionné'!$B$77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'results_0_fusionné'!$A$78:$A$83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'results_0_fusionné'!$B$78:$B$83</c:f>
              <c:numCache>
                <c:formatCode>General</c:formatCode>
                <c:ptCount val="5"/>
                <c:pt idx="0">
                  <c:v>886.7</c:v>
                </c:pt>
                <c:pt idx="1">
                  <c:v>970</c:v>
                </c:pt>
                <c:pt idx="2">
                  <c:v>970</c:v>
                </c:pt>
                <c:pt idx="3">
                  <c:v>970</c:v>
                </c:pt>
                <c:pt idx="4">
                  <c:v>961.7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12-40F6-AC48-01F4827DD6F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65569072"/>
        <c:axId val="265569552"/>
      </c:lineChart>
      <c:catAx>
        <c:axId val="265569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569552"/>
        <c:crosses val="autoZero"/>
        <c:auto val="1"/>
        <c:lblAlgn val="ctr"/>
        <c:lblOffset val="100"/>
        <c:noMultiLvlLbl val="0"/>
      </c:catAx>
      <c:valAx>
        <c:axId val="26556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56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[résultat_Tabou_v2.xlsx]results_1_fusionné!Tableau croisé dynamique5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'results_1_fusionné'!$B$60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'results_1_fusionné'!$B$61:$B$71</c:f>
              <c:numCache>
                <c:formatCode>General</c:formatCode>
                <c:ptCount val="10"/>
                <c:pt idx="0">
                  <c:v>4498.8</c:v>
                </c:pt>
                <c:pt idx="1">
                  <c:v>4460.8</c:v>
                </c:pt>
                <c:pt idx="2">
                  <c:v>4468.3999999999996</c:v>
                </c:pt>
                <c:pt idx="3">
                  <c:v>4506.3999999999996</c:v>
                </c:pt>
                <c:pt idx="4">
                  <c:v>4482.2</c:v>
                </c:pt>
                <c:pt idx="5">
                  <c:v>4274.2</c:v>
                </c:pt>
                <c:pt idx="6">
                  <c:v>4274.2</c:v>
                </c:pt>
                <c:pt idx="7">
                  <c:v>4266.6000000000004</c:v>
                </c:pt>
                <c:pt idx="8">
                  <c:v>4265.2</c:v>
                </c:pt>
                <c:pt idx="9">
                  <c:v>4389.6000000000004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F9-46AC-B00C-62C448B800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450960"/>
        <c:axId val="13452880"/>
      </c:barChart>
      <c:catAx>
        <c:axId val="13450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452880"/>
        <c:crosses val="autoZero"/>
        <c:auto val="1"/>
        <c:lblAlgn val="ctr"/>
        <c:lblOffset val="100"/>
        <c:noMultiLvlLbl val="0"/>
      </c:catAx>
      <c:valAx>
        <c:axId val="1345288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45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[résultat_Tabou_v2.xlsx]results_1_fusionné!Tableau croisé dynamique6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'results_1_fusionné'!$B$77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'results_1_fusionné'!$A$78:$A$83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'results_1_fusionné'!$B$78:$B$83</c:f>
              <c:numCache>
                <c:formatCode>General</c:formatCode>
                <c:ptCount val="5"/>
                <c:pt idx="0">
                  <c:v>4374.3999999999996</c:v>
                </c:pt>
                <c:pt idx="1">
                  <c:v>4401.7</c:v>
                </c:pt>
                <c:pt idx="2">
                  <c:v>4417.6000000000004</c:v>
                </c:pt>
                <c:pt idx="3">
                  <c:v>4416.8999999999996</c:v>
                </c:pt>
                <c:pt idx="4">
                  <c:v>4332.6000000000004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B4-43F5-9493-9435FE72F43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302399936"/>
        <c:axId val="302400416"/>
      </c:lineChart>
      <c:catAx>
        <c:axId val="302399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02400416"/>
        <c:crosses val="autoZero"/>
        <c:auto val="1"/>
        <c:lblAlgn val="ctr"/>
        <c:lblOffset val="100"/>
        <c:noMultiLvlLbl val="0"/>
      </c:catAx>
      <c:valAx>
        <c:axId val="30240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302399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[résultat_Tabou_v2.xlsx]results_3_fusionné!Tableau croisé dynamique7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'results_3_fusionné'!$B$60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'results_3_fusionné'!$B$61:$B$71</c:f>
              <c:numCache>
                <c:formatCode>General</c:formatCode>
                <c:ptCount val="10"/>
                <c:pt idx="0">
                  <c:v>1762.8</c:v>
                </c:pt>
                <c:pt idx="1">
                  <c:v>1989</c:v>
                </c:pt>
                <c:pt idx="2">
                  <c:v>1794</c:v>
                </c:pt>
                <c:pt idx="3">
                  <c:v>1989</c:v>
                </c:pt>
                <c:pt idx="4">
                  <c:v>1825.2</c:v>
                </c:pt>
                <c:pt idx="5">
                  <c:v>1809.6</c:v>
                </c:pt>
                <c:pt idx="6">
                  <c:v>1879.8</c:v>
                </c:pt>
                <c:pt idx="7">
                  <c:v>1911</c:v>
                </c:pt>
                <c:pt idx="8">
                  <c:v>1903.2</c:v>
                </c:pt>
                <c:pt idx="9">
                  <c:v>1848.6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9-440A-9845-DB1B0EF50E0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6304976"/>
        <c:axId val="16305456"/>
      </c:barChart>
      <c:catAx>
        <c:axId val="1630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6305456"/>
        <c:crosses val="autoZero"/>
        <c:auto val="1"/>
        <c:lblAlgn val="ctr"/>
        <c:lblOffset val="100"/>
        <c:noMultiLvlLbl val="0"/>
      </c:catAx>
      <c:valAx>
        <c:axId val="163054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0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[résultat_Tabou_v2.xlsx]results_3_fusionné!Tableau croisé dynamique8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'results_3_fusionné'!$B$77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'results_3_fusionné'!$A$78:$A$83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'results_3_fusionné'!$B$78:$B$83</c:f>
              <c:numCache>
                <c:formatCode>General</c:formatCode>
                <c:ptCount val="5"/>
                <c:pt idx="0">
                  <c:v>1817.4</c:v>
                </c:pt>
                <c:pt idx="1">
                  <c:v>1875.9</c:v>
                </c:pt>
                <c:pt idx="2">
                  <c:v>1887.6</c:v>
                </c:pt>
                <c:pt idx="3">
                  <c:v>1848.6</c:v>
                </c:pt>
                <c:pt idx="4">
                  <c:v>1926.6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F37-4E1B-A451-8D73F9014BB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4725248"/>
        <c:axId val="104724288"/>
      </c:lineChart>
      <c:catAx>
        <c:axId val="104725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4724288"/>
        <c:crosses val="autoZero"/>
        <c:auto val="1"/>
        <c:lblAlgn val="ctr"/>
        <c:lblOffset val="100"/>
        <c:noMultiLvlLbl val="0"/>
      </c:catAx>
      <c:valAx>
        <c:axId val="104724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472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[résultat_Tabou_v2.xlsx]results_4_fusionné!Tableau croisé dynamique9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'results_4_fusionné'!$B$60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'results_4_fusionné'!$B$61:$B$71</c:f>
              <c:numCache>
                <c:formatCode>General</c:formatCode>
                <c:ptCount val="10"/>
                <c:pt idx="0">
                  <c:v>4921.8</c:v>
                </c:pt>
                <c:pt idx="1">
                  <c:v>4929.6000000000004</c:v>
                </c:pt>
                <c:pt idx="2">
                  <c:v>4914</c:v>
                </c:pt>
                <c:pt idx="3">
                  <c:v>4859.3999999999996</c:v>
                </c:pt>
                <c:pt idx="4">
                  <c:v>4804.8</c:v>
                </c:pt>
                <c:pt idx="5">
                  <c:v>4524</c:v>
                </c:pt>
                <c:pt idx="6">
                  <c:v>4547.3999999999996</c:v>
                </c:pt>
                <c:pt idx="7">
                  <c:v>4578.6000000000004</c:v>
                </c:pt>
                <c:pt idx="8">
                  <c:v>4547.3999999999996</c:v>
                </c:pt>
                <c:pt idx="9">
                  <c:v>4446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92-4105-9CD2-D2825F8045E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265017328"/>
        <c:axId val="265015888"/>
      </c:barChart>
      <c:catAx>
        <c:axId val="265017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5015888"/>
        <c:crosses val="autoZero"/>
        <c:auto val="1"/>
        <c:lblAlgn val="ctr"/>
        <c:lblOffset val="100"/>
        <c:noMultiLvlLbl val="0"/>
      </c:catAx>
      <c:valAx>
        <c:axId val="26501588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6501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[résultat_Tabou_v2.xlsx]results_4_fusionné!Tableau croisé dynamique10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'results_4_fusionné'!$B$77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'results_4_fusionné'!$A$78:$A$83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'results_4_fusionné'!$B$78:$B$83</c:f>
              <c:numCache>
                <c:formatCode>General</c:formatCode>
                <c:ptCount val="5"/>
                <c:pt idx="0">
                  <c:v>46605</c:v>
                </c:pt>
                <c:pt idx="1">
                  <c:v>46956</c:v>
                </c:pt>
                <c:pt idx="2">
                  <c:v>47229</c:v>
                </c:pt>
                <c:pt idx="3">
                  <c:v>46800</c:v>
                </c:pt>
                <c:pt idx="4">
                  <c:v>47775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8C-468E-8748-6E0A4287A0B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60566320"/>
        <c:axId val="260562960"/>
      </c:lineChart>
      <c:catAx>
        <c:axId val="260566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62960"/>
        <c:crosses val="autoZero"/>
        <c:auto val="1"/>
        <c:lblAlgn val="ctr"/>
        <c:lblOffset val="100"/>
        <c:noMultiLvlLbl val="0"/>
      </c:catAx>
      <c:valAx>
        <c:axId val="260562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6056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[résultat_Tabou_v2.xlsx]results_6_fusionné!Tableau croisé dynamique11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cap="all" spc="120" normalizeH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MOY TOTAL PROFIT/ITERATIONS</a:t>
            </a:r>
          </a:p>
          <a:p>
            <a:pPr>
              <a:defRPr/>
            </a:pPr>
            <a:endParaRPr lang="en-US" sz="1600" b="1" i="0" u="none" strike="noStrike" kern="1200" cap="all" spc="120" normalizeH="0" baseline="0">
              <a:solidFill>
                <a:sysClr val="windowText" lastClr="000000">
                  <a:lumMod val="65000"/>
                  <a:lumOff val="35000"/>
                </a:sysClr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-540000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'results_6_fusionné'!$B$60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'results_6_fusionné'!$A$61:$A$71</c:f>
              <c:strCache>
                <c:ptCount val="10"/>
                <c:pt idx="0">
                  <c:v>50</c:v>
                </c:pt>
                <c:pt idx="1">
                  <c:v>100</c:v>
                </c:pt>
                <c:pt idx="2">
                  <c:v>500</c:v>
                </c:pt>
                <c:pt idx="3">
                  <c:v>1000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  <c:pt idx="7">
                  <c:v>100000</c:v>
                </c:pt>
                <c:pt idx="8">
                  <c:v>500000</c:v>
                </c:pt>
                <c:pt idx="9">
                  <c:v>1000000</c:v>
                </c:pt>
              </c:strCache>
            </c:strRef>
          </c:cat>
          <c:val>
            <c:numRef>
              <c:f>'results_6_fusionné'!$B$61:$B$71</c:f>
              <c:numCache>
                <c:formatCode>General</c:formatCode>
                <c:ptCount val="10"/>
                <c:pt idx="0">
                  <c:v>1002</c:v>
                </c:pt>
                <c:pt idx="1">
                  <c:v>1002.6</c:v>
                </c:pt>
                <c:pt idx="2">
                  <c:v>1003.8</c:v>
                </c:pt>
                <c:pt idx="3">
                  <c:v>1003.2</c:v>
                </c:pt>
                <c:pt idx="4">
                  <c:v>1002</c:v>
                </c:pt>
                <c:pt idx="5">
                  <c:v>1001.4</c:v>
                </c:pt>
                <c:pt idx="6">
                  <c:v>1001.4</c:v>
                </c:pt>
                <c:pt idx="7">
                  <c:v>1002</c:v>
                </c:pt>
                <c:pt idx="8">
                  <c:v>1002</c:v>
                </c:pt>
                <c:pt idx="9">
                  <c:v>1002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13-4A4F-BB08-ABB3740499F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31310272"/>
        <c:axId val="131311712"/>
      </c:barChart>
      <c:catAx>
        <c:axId val="131310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1311712"/>
        <c:crosses val="autoZero"/>
        <c:auto val="1"/>
        <c:lblAlgn val="ctr"/>
        <c:lblOffset val="100"/>
        <c:noMultiLvlLbl val="0"/>
      </c:catAx>
      <c:valAx>
        <c:axId val="1313117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3131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[résultat_Tabou_v2.xlsx]results_6_fusionné!Tableau croisé dynamique12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600" b="1" i="0" u="none" strike="noStrike" kern="1200" baseline="0">
                <a:solidFill>
                  <a:srgbClr val="0E2841"/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MOY TOTAL PROFIT/LISTE TABOU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600" b="1" i="0" u="none" strike="noStrike" kern="1200" baseline="0">
              <a:solidFill>
                <a:srgbClr val="0E284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12700">
              <a:solidFill>
                <a:schemeClr val="lt2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'results_6_fusionné'!$B$77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2700">
                <a:solidFill>
                  <a:schemeClr val="lt2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'results_6_fusionné'!$A$78:$A$83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</c:strCache>
            </c:strRef>
          </c:cat>
          <c:val>
            <c:numRef>
              <c:f>'results_6_fusionné'!$B$78:$B$83</c:f>
              <c:numCache>
                <c:formatCode>General</c:formatCode>
                <c:ptCount val="5"/>
                <c:pt idx="0">
                  <c:v>1002</c:v>
                </c:pt>
                <c:pt idx="1">
                  <c:v>1002.3</c:v>
                </c:pt>
                <c:pt idx="2">
                  <c:v>1002.6</c:v>
                </c:pt>
                <c:pt idx="3">
                  <c:v>1001.7</c:v>
                </c:pt>
                <c:pt idx="4">
                  <c:v>1002.6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818-4A61-8C23-830043F3241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1331376"/>
        <c:axId val="151329936"/>
      </c:lineChart>
      <c:catAx>
        <c:axId val="151331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29936"/>
        <c:crosses val="autoZero"/>
        <c:auto val="1"/>
        <c:lblAlgn val="ctr"/>
        <c:lblOffset val="100"/>
        <c:noMultiLvlLbl val="0"/>
      </c:catAx>
      <c:valAx>
        <c:axId val="151329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51331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1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762000</xdr:colOff>
      <xdr:row>55</xdr:row>
      <xdr:rowOff>140970</xdr:rowOff>
    </xdr:from>
    <xdr:to>
      <xdr:col>7</xdr:col>
      <xdr:colOff>2377440</xdr:colOff>
      <xdr:row>70</xdr:row>
      <xdr:rowOff>140970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82A9E0D7-54A4-6C57-4ECF-956730190C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125730</xdr:colOff>
      <xdr:row>72</xdr:row>
      <xdr:rowOff>57150</xdr:rowOff>
    </xdr:from>
    <xdr:to>
      <xdr:col>7</xdr:col>
      <xdr:colOff>1664970</xdr:colOff>
      <xdr:row>87</xdr:row>
      <xdr:rowOff>57150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C9795B49-F9DD-3EC0-21C6-41C37C7350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102870</xdr:colOff>
      <xdr:row>56</xdr:row>
      <xdr:rowOff>19050</xdr:rowOff>
    </xdr:from>
    <xdr:to>
      <xdr:col>7</xdr:col>
      <xdr:colOff>1539240</xdr:colOff>
      <xdr:row>71</xdr:row>
      <xdr:rowOff>19050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90D2237F-97DE-7919-D55D-8F5B5231FF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171450</xdr:colOff>
      <xdr:row>72</xdr:row>
      <xdr:rowOff>95250</xdr:rowOff>
    </xdr:from>
    <xdr:to>
      <xdr:col>7</xdr:col>
      <xdr:colOff>910590</xdr:colOff>
      <xdr:row>87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80EF78B-A3B2-A48B-2433-BA9A877D34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533400</xdr:colOff>
      <xdr:row>54</xdr:row>
      <xdr:rowOff>179070</xdr:rowOff>
    </xdr:from>
    <xdr:to>
      <xdr:col>7</xdr:col>
      <xdr:colOff>1935480</xdr:colOff>
      <xdr:row>69</xdr:row>
      <xdr:rowOff>179070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C6C3A9BD-C7E6-B2EA-9661-09D65BC7F8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701040</xdr:colOff>
      <xdr:row>72</xdr:row>
      <xdr:rowOff>19050</xdr:rowOff>
    </xdr:from>
    <xdr:to>
      <xdr:col>7</xdr:col>
      <xdr:colOff>1592580</xdr:colOff>
      <xdr:row>87</xdr:row>
      <xdr:rowOff>19050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9A59F3AF-A78A-F3D6-034F-D9AABB8D36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198120</xdr:colOff>
      <xdr:row>58</xdr:row>
      <xdr:rowOff>26670</xdr:rowOff>
    </xdr:from>
    <xdr:to>
      <xdr:col>7</xdr:col>
      <xdr:colOff>2468880</xdr:colOff>
      <xdr:row>73</xdr:row>
      <xdr:rowOff>26670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FD68B607-290C-BB46-024C-C37191ACAD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304800</xdr:colOff>
      <xdr:row>75</xdr:row>
      <xdr:rowOff>156210</xdr:rowOff>
    </xdr:from>
    <xdr:to>
      <xdr:col>7</xdr:col>
      <xdr:colOff>1844040</xdr:colOff>
      <xdr:row>90</xdr:row>
      <xdr:rowOff>156210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791F654-B615-16A6-6D64-F2AEDAF7B5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293370</xdr:colOff>
      <xdr:row>58</xdr:row>
      <xdr:rowOff>102870</xdr:rowOff>
    </xdr:from>
    <xdr:to>
      <xdr:col>7</xdr:col>
      <xdr:colOff>1935480</xdr:colOff>
      <xdr:row>73</xdr:row>
      <xdr:rowOff>102870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AB90ED0B-D229-590F-0B22-57C3852EF9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285750</xdr:colOff>
      <xdr:row>75</xdr:row>
      <xdr:rowOff>26670</xdr:rowOff>
    </xdr:from>
    <xdr:to>
      <xdr:col>7</xdr:col>
      <xdr:colOff>1024890</xdr:colOff>
      <xdr:row>90</xdr:row>
      <xdr:rowOff>26670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C72E00E-AED1-9832-A248-CF7C1E2DDF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17883564817" createdVersion="8" refreshedVersion="8" minRefreshableVersion="3" recordCount="50" xr:uid="{CA9C05C7-E79A-4332-BB1E-9E1D5A3B8BD9}">
  <cacheSource type="worksheet">
    <worksheetSource name="results_0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43" maxValue="970"/>
    </cacheField>
    <cacheField name="Total profit" numFmtId="0">
      <sharedItems containsSemiMixedTypes="0" containsString="0" containsNumber="1" containsInteger="1" minValue="773" maxValue="970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47.8273484706878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26734722224" createdVersion="8" refreshedVersion="8" minRefreshableVersion="3" recordCount="50" xr:uid="{FC805EA1-44CC-48CF-94D4-A76485A0CF14}">
  <cacheSource type="worksheet">
    <worksheetSource name="results_1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4556" maxValue="4556"/>
    </cacheField>
    <cacheField name="Total weight" numFmtId="0">
      <sharedItems containsSemiMixedTypes="0" containsString="0" containsNumber="1" containsInteger="1" minValue="4497" maxValue="4556"/>
    </cacheField>
    <cacheField name="Total profit" numFmtId="0">
      <sharedItems containsSemiMixedTypes="0" containsString="0" containsNumber="1" containsInteger="1" minValue="3975" maxValue="4514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00011825561523E-2" maxValue="332.258870363235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51548726855" createdVersion="8" refreshedVersion="8" minRefreshableVersion="3" recordCount="50" xr:uid="{BE88B655-57C7-4892-AE49-221A360E9608}">
  <cacheSource type="worksheet">
    <worksheetSource name="results_3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70" maxValue="970"/>
    </cacheField>
    <cacheField name="Total weight" numFmtId="0">
      <sharedItems containsSemiMixedTypes="0" containsString="0" containsNumber="1" containsInteger="1" minValue="954" maxValue="969"/>
    </cacheField>
    <cacheField name="Total profit" numFmtId="0">
      <sharedItems containsSemiMixedTypes="0" containsString="0" containsNumber="1" containsInteger="1" minValue="1560" maxValue="198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9991397857665998E-3" maxValue="34.4936964511870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81403703704" createdVersion="8" refreshedVersion="8" minRefreshableVersion="3" recordCount="50" xr:uid="{B9EE006C-C78C-4441-9F8E-78ADF05D5A10}">
  <cacheSource type="worksheet">
    <worksheetSource name="results_4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3177" maxValue="3177"/>
    </cacheField>
    <cacheField name="Total weight" numFmtId="0">
      <sharedItems containsSemiMixedTypes="0" containsString="0" containsNumber="1" containsInteger="1" minValue="3160" maxValue="3177"/>
    </cacheField>
    <cacheField name="Total profit" numFmtId="0">
      <sharedItems containsSemiMixedTypes="0" containsString="0" containsNumber="1" containsInteger="1" minValue="4134" maxValue="5109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1.1998176574707E-2" maxValue="268.4213345050810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i New" refreshedDate="45758.695707175924" createdVersion="8" refreshedVersion="8" minRefreshableVersion="3" recordCount="50" xr:uid="{275A80D1-93B7-405B-BCC0-1865D9C0E3EE}">
  <cacheSource type="worksheet">
    <worksheetSource name="results_6_fusionné"/>
  </cacheSource>
  <cacheFields count="9">
    <cacheField name="Nom de la base" numFmtId="0">
      <sharedItems/>
    </cacheField>
    <cacheField name="Nombre d'iteration" numFmtId="0">
      <sharedItems containsSemiMixedTypes="0" containsString="0" containsNumber="1" containsInteger="1" minValue="50" maxValue="1000000" count="10">
        <n v="1000000"/>
        <n v="100000"/>
        <n v="10000"/>
        <n v="1000"/>
        <n v="100"/>
        <n v="500000"/>
        <n v="50000"/>
        <n v="5000"/>
        <n v="500"/>
        <n v="50"/>
      </sharedItems>
    </cacheField>
    <cacheField name="Taille liste Tabou" numFmtId="0">
      <sharedItems containsSemiMixedTypes="0" containsString="0" containsNumber="1" containsInteger="1" minValue="1" maxValue="20" count="5">
        <n v="1"/>
        <n v="10"/>
        <n v="15"/>
        <n v="20"/>
        <n v="5"/>
      </sharedItems>
    </cacheField>
    <cacheField name="Poids MAx" numFmtId="0">
      <sharedItems containsSemiMixedTypes="0" containsString="0" containsNumber="1" containsInteger="1" minValue="997" maxValue="997"/>
    </cacheField>
    <cacheField name="Total weight" numFmtId="0">
      <sharedItems containsSemiMixedTypes="0" containsString="0" containsNumber="1" containsInteger="1" minValue="993" maxValue="997"/>
    </cacheField>
    <cacheField name="Total profit" numFmtId="0">
      <sharedItems containsSemiMixedTypes="0" containsString="0" containsNumber="1" containsInteger="1" minValue="999" maxValue="1008"/>
    </cacheField>
    <cacheField name="Temps d'execution" numFmtId="0">
      <sharedItems/>
    </cacheField>
    <cacheField name="Fichier solution" numFmtId="0">
      <sharedItems/>
    </cacheField>
    <cacheField name="tps_nb" numFmtId="0">
      <sharedItems containsSemiMixedTypes="0" containsString="0" containsNumber="1" minValue="0" maxValue="23.4326715469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-1000-001.kna"/>
    <x v="0"/>
    <x v="0"/>
    <n v="970"/>
    <n v="970"/>
    <n v="970"/>
    <s v="47.827348470687866"/>
    <s v="results/0/item_solutions/pi-12-100-1000-001.kna_1000000_1_items.csv"/>
    <n v="47.827348470687802"/>
  </r>
  <r>
    <s v="pi-12-100-1000-001.kna"/>
    <x v="0"/>
    <x v="1"/>
    <n v="970"/>
    <n v="970"/>
    <n v="970"/>
    <s v="0.0"/>
    <s v="results/0/item_solutions/pi-12-100-1000-001.kna_1000000_10_items.csv"/>
    <n v="0"/>
  </r>
  <r>
    <s v="pi-12-100-1000-001.kna"/>
    <x v="0"/>
    <x v="2"/>
    <n v="970"/>
    <n v="970"/>
    <n v="970"/>
    <s v="0.001162052154541"/>
    <s v="results/0/item_solutions/pi-12-100-1000-001.kna_1000000_15_items.csv"/>
    <n v="1.162052154541E-3"/>
  </r>
  <r>
    <s v="pi-12-100-1000-001.kna"/>
    <x v="0"/>
    <x v="3"/>
    <n v="970"/>
    <n v="970"/>
    <n v="970"/>
    <s v="0.0"/>
    <s v="results/0/item_solutions/pi-12-100-1000-001.kna_1000000_20_items.csv"/>
    <n v="0"/>
  </r>
  <r>
    <s v="pi-12-100-1000-001.kna"/>
    <x v="0"/>
    <x v="4"/>
    <n v="970"/>
    <n v="970"/>
    <n v="970"/>
    <s v="0.0013794898986816"/>
    <s v="results/0/item_solutions/pi-12-100-1000-001.kna_1000000_5_items.csv"/>
    <n v="1.3794898986816001E-3"/>
  </r>
  <r>
    <s v="pi-12-100-1000-001.kna"/>
    <x v="1"/>
    <x v="0"/>
    <n v="970"/>
    <n v="970"/>
    <n v="970"/>
    <s v="4.911705255508423"/>
    <s v="results/0/item_solutions/pi-12-100-1000-001.kna_100000_1_items.csv"/>
    <n v="4.9117052555084202"/>
  </r>
  <r>
    <s v="pi-12-100-1000-001.kna"/>
    <x v="1"/>
    <x v="1"/>
    <n v="970"/>
    <n v="970"/>
    <n v="970"/>
    <s v="0.0"/>
    <s v="results/0/item_solutions/pi-12-100-1000-001.kna_100000_10_items.csv"/>
    <n v="0"/>
  </r>
  <r>
    <s v="pi-12-100-1000-001.kna"/>
    <x v="1"/>
    <x v="2"/>
    <n v="970"/>
    <n v="970"/>
    <n v="970"/>
    <s v="3.674217700958252"/>
    <s v="results/0/item_solutions/pi-12-100-1000-001.kna_100000_15_items.csv"/>
    <n v="3.6742177009582502"/>
  </r>
  <r>
    <s v="pi-12-100-1000-001.kna"/>
    <x v="1"/>
    <x v="3"/>
    <n v="970"/>
    <n v="970"/>
    <n v="970"/>
    <s v="0.0009984970092773"/>
    <s v="results/0/item_solutions/pi-12-100-1000-001.kna_100000_20_items.csv"/>
    <n v="9.9849700927729995E-4"/>
  </r>
  <r>
    <s v="pi-12-100-1000-001.kna"/>
    <x v="1"/>
    <x v="4"/>
    <n v="970"/>
    <n v="970"/>
    <n v="970"/>
    <s v="4.1733338832855225"/>
    <s v="results/0/item_solutions/pi-12-100-1000-001.kna_100000_5_items.csv"/>
    <n v="4.1733338832855198"/>
  </r>
  <r>
    <s v="pi-12-100-1000-001.kna"/>
    <x v="2"/>
    <x v="0"/>
    <n v="970"/>
    <n v="951"/>
    <n v="811"/>
    <s v="0.6841146945953369"/>
    <s v="results/0/item_solutions/pi-12-100-1000-001.kna_10000_1_items.csv"/>
    <n v="0.68411469459533603"/>
  </r>
  <r>
    <s v="pi-12-100-1000-001.kna"/>
    <x v="2"/>
    <x v="1"/>
    <n v="970"/>
    <n v="970"/>
    <n v="970"/>
    <s v="0.0019941329956054"/>
    <s v="results/0/item_solutions/pi-12-100-1000-001.kna_10000_10_items.csv"/>
    <n v="1.9941329956053998E-3"/>
  </r>
  <r>
    <s v="pi-12-100-1000-001.kna"/>
    <x v="2"/>
    <x v="2"/>
    <n v="970"/>
    <n v="970"/>
    <n v="970"/>
    <s v="0.0039925575256347"/>
    <s v="results/0/item_solutions/pi-12-100-1000-001.kna_10000_15_items.csv"/>
    <n v="3.9925575256346997E-3"/>
  </r>
  <r>
    <s v="pi-12-100-1000-001.kna"/>
    <x v="2"/>
    <x v="3"/>
    <n v="970"/>
    <n v="970"/>
    <n v="970"/>
    <s v="0.0019953250885009"/>
    <s v="results/0/item_solutions/pi-12-100-1000-001.kna_10000_20_items.csv"/>
    <n v="1.9953250885008998E-3"/>
  </r>
  <r>
    <s v="pi-12-100-1000-001.kna"/>
    <x v="2"/>
    <x v="4"/>
    <n v="970"/>
    <n v="970"/>
    <n v="970"/>
    <s v="0.5117642879486084"/>
    <s v="results/0/item_solutions/pi-12-100-1000-001.kna_10000_5_items.csv"/>
    <n v="0.51176428794860795"/>
  </r>
  <r>
    <s v="pi-12-100-1000-001.kna"/>
    <x v="3"/>
    <x v="0"/>
    <n v="970"/>
    <n v="947"/>
    <n v="849"/>
    <s v="0.0663702487945556"/>
    <s v="results/0/item_solutions/pi-12-100-1000-001.kna_1000_1_items.csv"/>
    <n v="6.6370248794555595E-2"/>
  </r>
  <r>
    <s v="pi-12-100-1000-001.kna"/>
    <x v="3"/>
    <x v="1"/>
    <n v="970"/>
    <n v="970"/>
    <n v="970"/>
    <s v="0.0025446414947509"/>
    <s v="results/0/item_solutions/pi-12-100-1000-001.kna_1000_10_items.csv"/>
    <n v="2.5446414947508998E-3"/>
  </r>
  <r>
    <s v="pi-12-100-1000-001.kna"/>
    <x v="3"/>
    <x v="2"/>
    <n v="970"/>
    <n v="970"/>
    <n v="970"/>
    <s v="0.0031938552856445"/>
    <s v="results/0/item_solutions/pi-12-100-1000-001.kna_1000_15_items.csv"/>
    <n v="3.1938552856445E-3"/>
  </r>
  <r>
    <s v="pi-12-100-1000-001.kna"/>
    <x v="3"/>
    <x v="3"/>
    <n v="970"/>
    <n v="943"/>
    <n v="887"/>
    <s v="0.0667009353637695"/>
    <s v="results/0/item_solutions/pi-12-100-1000-001.kna_1000_20_items.csv"/>
    <n v="6.6700935363769503E-2"/>
  </r>
  <r>
    <s v="pi-12-100-1000-001.kna"/>
    <x v="3"/>
    <x v="4"/>
    <n v="970"/>
    <n v="970"/>
    <n v="970"/>
    <s v="0.0829310417175293"/>
    <s v="results/0/item_solutions/pi-12-100-1000-001.kna_1000_5_items.csv"/>
    <n v="8.2931041717529297E-2"/>
  </r>
  <r>
    <s v="pi-12-100-1000-001.kna"/>
    <x v="4"/>
    <x v="0"/>
    <n v="970"/>
    <n v="970"/>
    <n v="970"/>
    <s v="0.0059912204742431"/>
    <s v="results/0/item_solutions/pi-12-100-1000-001.kna_100_1_items.csv"/>
    <n v="5.9912204742430999E-3"/>
  </r>
  <r>
    <s v="pi-12-100-1000-001.kna"/>
    <x v="4"/>
    <x v="1"/>
    <n v="970"/>
    <n v="970"/>
    <n v="970"/>
    <s v="0.0"/>
    <s v="results/0/item_solutions/pi-12-100-1000-001.kna_100_10_items.csv"/>
    <n v="0"/>
  </r>
  <r>
    <s v="pi-12-100-1000-001.kna"/>
    <x v="4"/>
    <x v="2"/>
    <n v="970"/>
    <n v="970"/>
    <n v="970"/>
    <s v="0.0012164115905761"/>
    <s v="results/0/item_solutions/pi-12-100-1000-001.kna_100_15_items.csv"/>
    <n v="1.2164115905761001E-3"/>
  </r>
  <r>
    <s v="pi-12-100-1000-001.kna"/>
    <x v="4"/>
    <x v="3"/>
    <n v="970"/>
    <n v="970"/>
    <n v="970"/>
    <s v="0.000993013381958"/>
    <s v="results/0/item_solutions/pi-12-100-1000-001.kna_100_20_items.csv"/>
    <n v="9.9301338195800001E-4"/>
  </r>
  <r>
    <s v="pi-12-100-1000-001.kna"/>
    <x v="4"/>
    <x v="4"/>
    <n v="970"/>
    <n v="970"/>
    <n v="970"/>
    <s v="0.0060231685638427"/>
    <s v="results/0/item_solutions/pi-12-100-1000-001.kna_100_5_items.csv"/>
    <n v="6.0231685638426997E-3"/>
  </r>
  <r>
    <s v="pi-12-100-1000-001.kna"/>
    <x v="5"/>
    <x v="0"/>
    <n v="970"/>
    <n v="970"/>
    <n v="970"/>
    <s v="25.204922676086422"/>
    <s v="results/0/item_solutions/pi-12-100-1000-001.kna_500000_1_items.csv"/>
    <n v="25.204922676086401"/>
  </r>
  <r>
    <s v="pi-12-100-1000-001.kna"/>
    <x v="5"/>
    <x v="1"/>
    <n v="970"/>
    <n v="970"/>
    <n v="970"/>
    <s v="0.0010476112365722"/>
    <s v="results/0/item_solutions/pi-12-100-1000-001.kna_500000_10_items.csv"/>
    <n v="1.0476112365721999E-3"/>
  </r>
  <r>
    <s v="pi-12-100-1000-001.kna"/>
    <x v="5"/>
    <x v="2"/>
    <n v="970"/>
    <n v="970"/>
    <n v="970"/>
    <s v="0.0037882328033447"/>
    <s v="results/0/item_solutions/pi-12-100-1000-001.kna_500000_15_items.csv"/>
    <n v="3.7882328033447001E-3"/>
  </r>
  <r>
    <s v="pi-12-100-1000-001.kna"/>
    <x v="5"/>
    <x v="3"/>
    <n v="970"/>
    <n v="970"/>
    <n v="970"/>
    <s v="0.0021235942840576"/>
    <s v="results/0/item_solutions/pi-12-100-1000-001.kna_500000_20_items.csv"/>
    <n v="2.1235942840575998E-3"/>
  </r>
  <r>
    <s v="pi-12-100-1000-001.kna"/>
    <x v="5"/>
    <x v="4"/>
    <n v="970"/>
    <n v="970"/>
    <n v="970"/>
    <s v="0.0019843578338623"/>
    <s v="results/0/item_solutions/pi-12-100-1000-001.kna_500000_5_items.csv"/>
    <n v="1.9843578338622999E-3"/>
  </r>
  <r>
    <s v="pi-12-100-1000-001.kna"/>
    <x v="6"/>
    <x v="0"/>
    <n v="970"/>
    <n v="970"/>
    <n v="970"/>
    <s v="3.939992904663086"/>
    <s v="results/0/item_solutions/pi-12-100-1000-001.kna_50000_1_items.csv"/>
    <n v="3.9399929046630802"/>
  </r>
  <r>
    <s v="pi-12-100-1000-001.kna"/>
    <x v="6"/>
    <x v="1"/>
    <n v="970"/>
    <n v="970"/>
    <n v="970"/>
    <s v="0.0015130043029785"/>
    <s v="results/0/item_solutions/pi-12-100-1000-001.kna_50000_10_items.csv"/>
    <n v="1.5130043029785E-3"/>
  </r>
  <r>
    <s v="pi-12-100-1000-001.kna"/>
    <x v="6"/>
    <x v="2"/>
    <n v="970"/>
    <n v="970"/>
    <n v="970"/>
    <s v="0.0011842250823974"/>
    <s v="results/0/item_solutions/pi-12-100-1000-001.kna_50000_15_items.csv"/>
    <n v="1.1842250823974E-3"/>
  </r>
  <r>
    <s v="pi-12-100-1000-001.kna"/>
    <x v="6"/>
    <x v="3"/>
    <n v="970"/>
    <n v="970"/>
    <n v="970"/>
    <s v="0.0010817050933837"/>
    <s v="results/0/item_solutions/pi-12-100-1000-001.kna_50000_20_items.csv"/>
    <n v="1.0817050933836999E-3"/>
  </r>
  <r>
    <s v="pi-12-100-1000-001.kna"/>
    <x v="6"/>
    <x v="4"/>
    <n v="970"/>
    <n v="970"/>
    <n v="970"/>
    <s v="2.343127012252808"/>
    <s v="results/0/item_solutions/pi-12-100-1000-001.kna_50000_5_items.csv"/>
    <n v="2.3431270122528001"/>
  </r>
  <r>
    <s v="pi-12-100-1000-001.kna"/>
    <x v="7"/>
    <x v="0"/>
    <n v="970"/>
    <n v="955"/>
    <n v="773"/>
    <s v="0.2890429496765136"/>
    <s v="results/0/item_solutions/pi-12-100-1000-001.kna_5000_1_items.csv"/>
    <n v="0.28904294967651301"/>
  </r>
  <r>
    <s v="pi-12-100-1000-001.kna"/>
    <x v="7"/>
    <x v="1"/>
    <n v="970"/>
    <n v="970"/>
    <n v="970"/>
    <s v="0.0"/>
    <s v="results/0/item_solutions/pi-12-100-1000-001.kna_5000_10_items.csv"/>
    <n v="0"/>
  </r>
  <r>
    <s v="pi-12-100-1000-001.kna"/>
    <x v="7"/>
    <x v="2"/>
    <n v="970"/>
    <n v="970"/>
    <n v="970"/>
    <s v="0.0010185241699218"/>
    <s v="results/0/item_solutions/pi-12-100-1000-001.kna_5000_15_items.csv"/>
    <n v="1.0185241699218E-3"/>
  </r>
  <r>
    <s v="pi-12-100-1000-001.kna"/>
    <x v="7"/>
    <x v="3"/>
    <n v="970"/>
    <n v="970"/>
    <n v="970"/>
    <s v="0.0024068355560302"/>
    <s v="results/0/item_solutions/pi-12-100-1000-001.kna_5000_20_items.csv"/>
    <n v="2.4068355560302001E-3"/>
  </r>
  <r>
    <s v="pi-12-100-1000-001.kna"/>
    <x v="7"/>
    <x v="4"/>
    <n v="970"/>
    <n v="970"/>
    <n v="970"/>
    <s v="0.0010056495666503"/>
    <s v="results/0/item_solutions/pi-12-100-1000-001.kna_5000_5_items.csv"/>
    <n v="1.0056495666503E-3"/>
  </r>
  <r>
    <s v="pi-12-100-1000-001.kna"/>
    <x v="8"/>
    <x v="0"/>
    <n v="970"/>
    <n v="955"/>
    <n v="773"/>
    <s v="0.0221638679504394"/>
    <s v="results/0/item_solutions/pi-12-100-1000-001.kna_500_1_items.csv"/>
    <n v="2.2163867950439401E-2"/>
  </r>
  <r>
    <s v="pi-12-100-1000-001.kna"/>
    <x v="8"/>
    <x v="1"/>
    <n v="970"/>
    <n v="970"/>
    <n v="970"/>
    <s v="0.0334725379943847"/>
    <s v="results/0/item_solutions/pi-12-100-1000-001.kna_500_10_items.csv"/>
    <n v="3.3472537994384703E-2"/>
  </r>
  <r>
    <s v="pi-12-100-1000-001.kna"/>
    <x v="8"/>
    <x v="2"/>
    <n v="970"/>
    <n v="970"/>
    <n v="970"/>
    <s v="0.0010435581207275"/>
    <s v="results/0/item_solutions/pi-12-100-1000-001.kna_500_15_items.csv"/>
    <n v="1.0435581207275E-3"/>
  </r>
  <r>
    <s v="pi-12-100-1000-001.kna"/>
    <x v="8"/>
    <x v="3"/>
    <n v="970"/>
    <n v="970"/>
    <n v="970"/>
    <s v="0.0042078495025634"/>
    <s v="results/0/item_solutions/pi-12-100-1000-001.kna_500_20_items.csv"/>
    <n v="4.2078495025634002E-3"/>
  </r>
  <r>
    <s v="pi-12-100-1000-001.kna"/>
    <x v="8"/>
    <x v="4"/>
    <n v="970"/>
    <n v="970"/>
    <n v="970"/>
    <s v="0.0"/>
    <s v="results/0/item_solutions/pi-12-100-1000-001.kna_500_5_items.csv"/>
    <n v="0"/>
  </r>
  <r>
    <s v="pi-12-100-1000-001.kna"/>
    <x v="9"/>
    <x v="0"/>
    <n v="970"/>
    <n v="951"/>
    <n v="811"/>
    <s v="0.0239686965942382"/>
    <s v="results/0/item_solutions/pi-12-100-1000-001.kna_50_1_items.csv"/>
    <n v="2.3968696594238201E-2"/>
  </r>
  <r>
    <s v="pi-12-100-1000-001.kna"/>
    <x v="9"/>
    <x v="1"/>
    <n v="970"/>
    <n v="970"/>
    <n v="970"/>
    <s v="0.0"/>
    <s v="results/0/item_solutions/pi-12-100-1000-001.kna_50_10_items.csv"/>
    <n v="0"/>
  </r>
  <r>
    <s v="pi-12-100-1000-001.kna"/>
    <x v="9"/>
    <x v="2"/>
    <n v="970"/>
    <n v="970"/>
    <n v="970"/>
    <s v="0.0010437965393066"/>
    <s v="results/0/item_solutions/pi-12-100-1000-001.kna_50_15_items.csv"/>
    <n v="1.0437965393066001E-3"/>
  </r>
  <r>
    <s v="pi-12-100-1000-001.kna"/>
    <x v="9"/>
    <x v="3"/>
    <n v="970"/>
    <n v="970"/>
    <n v="970"/>
    <s v="0.0"/>
    <s v="results/0/item_solutions/pi-12-100-1000-001.kna_50_20_items.csv"/>
    <n v="0"/>
  </r>
  <r>
    <s v="pi-12-100-1000-001.kna"/>
    <x v="9"/>
    <x v="4"/>
    <n v="970"/>
    <n v="970"/>
    <n v="970"/>
    <s v="0.0010702610015869"/>
    <s v="results/0/item_solutions/pi-12-100-1000-001.kna_50_5_items.csv"/>
    <n v="1.0702610015869E-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2-1000-1000-001.kna"/>
    <x v="0"/>
    <x v="0"/>
    <n v="4556"/>
    <n v="4501"/>
    <n v="4431"/>
    <s v="271.08083319664"/>
    <s v="results/1/item_solutions/pi-12-1000-1000-001.kna_1000000_1_items.csv"/>
    <n v="271.08083319664001"/>
  </r>
  <r>
    <s v="pi-12-1000-1000-001.kna"/>
    <x v="0"/>
    <x v="1"/>
    <n v="4556"/>
    <n v="4528"/>
    <n v="4514"/>
    <s v="251.1317727565765"/>
    <s v="results/1/item_solutions/pi-12-1000-1000-001.kna_1000000_10_items.csv"/>
    <n v="251.131772756576"/>
  </r>
  <r>
    <s v="pi-12-1000-1000-001.kna"/>
    <x v="0"/>
    <x v="2"/>
    <n v="4556"/>
    <n v="4532"/>
    <n v="4476"/>
    <s v="200.94095134735107"/>
    <s v="results/1/item_solutions/pi-12-1000-1000-001.kna_1000000_15_items.csv"/>
    <n v="200.94095134735099"/>
  </r>
  <r>
    <s v="pi-12-1000-1000-001.kna"/>
    <x v="0"/>
    <x v="3"/>
    <n v="4556"/>
    <n v="4533"/>
    <n v="4127"/>
    <s v="267.1831636428833"/>
    <s v="results/1/item_solutions/pi-12-1000-1000-001.kna_1000000_20_items.csv"/>
    <n v="267.18316364288302"/>
  </r>
  <r>
    <s v="pi-12-1000-1000-001.kna"/>
    <x v="0"/>
    <x v="4"/>
    <n v="4556"/>
    <n v="4540"/>
    <n v="4400"/>
    <s v="332.2588703632355"/>
    <s v="results/1/item_solutions/pi-12-1000-1000-001.kna_1000000_5_items.csv"/>
    <n v="332.25887036323502"/>
  </r>
  <r>
    <s v="pi-12-1000-1000-001.kna"/>
    <x v="1"/>
    <x v="0"/>
    <n v="4556"/>
    <n v="4521"/>
    <n v="4241"/>
    <s v="26.69176745414734"/>
    <s v="results/1/item_solutions/pi-12-1000-1000-001.kna_100000_1_items.csv"/>
    <n v="26.6917674541473"/>
  </r>
  <r>
    <s v="pi-12-1000-1000-001.kna"/>
    <x v="1"/>
    <x v="1"/>
    <n v="4556"/>
    <n v="4544"/>
    <n v="4362"/>
    <s v="24.015660285949707"/>
    <s v="results/1/item_solutions/pi-12-1000-1000-001.kna_100000_10_items.csv"/>
    <n v="24.0156602859497"/>
  </r>
  <r>
    <s v="pi-12-1000-1000-001.kna"/>
    <x v="1"/>
    <x v="2"/>
    <n v="4556"/>
    <n v="4517"/>
    <n v="4279"/>
    <s v="27.432199716567997"/>
    <s v="results/1/item_solutions/pi-12-1000-1000-001.kna_100000_15_items.csv"/>
    <n v="27.432199716567901"/>
  </r>
  <r>
    <s v="pi-12-1000-1000-001.kna"/>
    <x v="1"/>
    <x v="3"/>
    <n v="4556"/>
    <n v="4549"/>
    <n v="3975"/>
    <s v="29.74497103691101"/>
    <s v="results/1/item_solutions/pi-12-1000-1000-001.kna_100000_20_items.csv"/>
    <n v="29.744971036911"/>
  </r>
  <r>
    <s v="pi-12-1000-1000-001.kna"/>
    <x v="1"/>
    <x v="4"/>
    <n v="4556"/>
    <n v="4532"/>
    <n v="4476"/>
    <s v="24.386036157608032"/>
    <s v="results/1/item_solutions/pi-12-1000-1000-001.kna_100000_5_items.csv"/>
    <n v="24.386036157608"/>
  </r>
  <r>
    <s v="pi-12-1000-1000-001.kna"/>
    <x v="2"/>
    <x v="0"/>
    <n v="4556"/>
    <n v="4528"/>
    <n v="4514"/>
    <s v="2.2105422019958496"/>
    <s v="results/1/item_solutions/pi-12-1000-1000-001.kna_10000_1_items.csv"/>
    <n v="2.2105422019958398"/>
  </r>
  <r>
    <s v="pi-12-1000-1000-001.kna"/>
    <x v="2"/>
    <x v="1"/>
    <n v="4556"/>
    <n v="4552"/>
    <n v="4286"/>
    <s v="2.273202419281006"/>
    <s v="results/1/item_solutions/pi-12-1000-1000-001.kna_10000_10_items.csv"/>
    <n v="2.2732024192810001"/>
  </r>
  <r>
    <s v="pi-12-1000-1000-001.kna"/>
    <x v="2"/>
    <x v="2"/>
    <n v="4556"/>
    <n v="4497"/>
    <n v="4469"/>
    <s v="2.735210418701172"/>
    <s v="results/1/item_solutions/pi-12-1000-1000-001.kna_10000_15_items.csv"/>
    <n v="2.7352104187011701"/>
  </r>
  <r>
    <s v="pi-12-1000-1000-001.kna"/>
    <x v="2"/>
    <x v="3"/>
    <n v="4556"/>
    <n v="4545"/>
    <n v="4013"/>
    <s v="2.079288959503174"/>
    <s v="results/1/item_solutions/pi-12-1000-1000-001.kna_10000_20_items.csv"/>
    <n v="2.0792889595031698"/>
  </r>
  <r>
    <s v="pi-12-1000-1000-001.kna"/>
    <x v="2"/>
    <x v="4"/>
    <n v="4556"/>
    <n v="4537"/>
    <n v="4089"/>
    <s v="1.95346999168396"/>
    <s v="results/1/item_solutions/pi-12-1000-1000-001.kna_10000_5_items.csv"/>
    <n v="1.95346999168396"/>
  </r>
  <r>
    <s v="pi-12-1000-1000-001.kna"/>
    <x v="3"/>
    <x v="0"/>
    <n v="4556"/>
    <n v="4532"/>
    <n v="4476"/>
    <s v="0.2186875343322754"/>
    <s v="results/1/item_solutions/pi-12-1000-1000-001.kna_1000_1_items.csv"/>
    <n v="0.218687534332275"/>
  </r>
  <r>
    <s v="pi-12-1000-1000-001.kna"/>
    <x v="3"/>
    <x v="1"/>
    <n v="4556"/>
    <n v="4528"/>
    <n v="4514"/>
    <s v="0.2182381153106689"/>
    <s v="results/1/item_solutions/pi-12-1000-1000-001.kna_1000_10_items.csv"/>
    <n v="0.218238115310668"/>
  </r>
  <r>
    <s v="pi-12-1000-1000-001.kna"/>
    <x v="3"/>
    <x v="2"/>
    <n v="4556"/>
    <n v="4528"/>
    <n v="4514"/>
    <s v="0.2766904830932617"/>
    <s v="results/1/item_solutions/pi-12-1000-1000-001.kna_1000_15_items.csv"/>
    <n v="0.276690483093261"/>
  </r>
  <r>
    <s v="pi-12-1000-1000-001.kna"/>
    <x v="3"/>
    <x v="3"/>
    <n v="4556"/>
    <n v="4528"/>
    <n v="4514"/>
    <s v="0.2378828525543213"/>
    <s v="results/1/item_solutions/pi-12-1000-1000-001.kna_1000_20_items.csv"/>
    <n v="0.23788285255432101"/>
  </r>
  <r>
    <s v="pi-12-1000-1000-001.kna"/>
    <x v="3"/>
    <x v="4"/>
    <n v="4556"/>
    <n v="4528"/>
    <n v="4514"/>
    <s v="0.2913706302642822"/>
    <s v="results/1/item_solutions/pi-12-1000-1000-001.kna_1000_5_items.csv"/>
    <n v="0.291370630264282"/>
  </r>
  <r>
    <s v="pi-12-1000-1000-001.kna"/>
    <x v="4"/>
    <x v="0"/>
    <n v="4556"/>
    <n v="4540"/>
    <n v="4400"/>
    <s v="0.0210342407226562"/>
    <s v="results/1/item_solutions/pi-12-1000-1000-001.kna_100_1_items.csv"/>
    <n v="2.1034240722656201E-2"/>
  </r>
  <r>
    <s v="pi-12-1000-1000-001.kna"/>
    <x v="4"/>
    <x v="1"/>
    <n v="4556"/>
    <n v="4528"/>
    <n v="4514"/>
    <s v="0.0302066802978515"/>
    <s v="results/1/item_solutions/pi-12-1000-1000-001.kna_100_10_items.csv"/>
    <n v="3.02066802978515E-2"/>
  </r>
  <r>
    <s v="pi-12-1000-1000-001.kna"/>
    <x v="4"/>
    <x v="2"/>
    <n v="4556"/>
    <n v="4540"/>
    <n v="4400"/>
    <s v="0.0280330181121826"/>
    <s v="results/1/item_solutions/pi-12-1000-1000-001.kna_100_15_items.csv"/>
    <n v="2.80330181121826E-2"/>
  </r>
  <r>
    <s v="pi-12-1000-1000-001.kna"/>
    <x v="4"/>
    <x v="3"/>
    <n v="4556"/>
    <n v="4528"/>
    <n v="4514"/>
    <s v="0.0311417579650878"/>
    <s v="results/1/item_solutions/pi-12-1000-1000-001.kna_100_20_items.csv"/>
    <n v="3.11417579650878E-2"/>
  </r>
  <r>
    <s v="pi-12-1000-1000-001.kna"/>
    <x v="4"/>
    <x v="4"/>
    <n v="4556"/>
    <n v="4532"/>
    <n v="4476"/>
    <s v="0.0260205268859863"/>
    <s v="results/1/item_solutions/pi-12-1000-1000-001.kna_100_5_items.csv"/>
    <n v="2.60205268859863E-2"/>
  </r>
  <r>
    <s v="pi-12-1000-1000-001.kna"/>
    <x v="5"/>
    <x v="0"/>
    <n v="4556"/>
    <n v="4502"/>
    <n v="4082"/>
    <s v="149.51319432258606"/>
    <s v="results/1/item_solutions/pi-12-1000-1000-001.kna_500000_1_items.csv"/>
    <n v="149.513194322586"/>
  </r>
  <r>
    <s v="pi-12-1000-1000-001.kna"/>
    <x v="5"/>
    <x v="1"/>
    <n v="4556"/>
    <n v="4533"/>
    <n v="4127"/>
    <s v="117.74605417251588"/>
    <s v="results/1/item_solutions/pi-12-1000-1000-001.kna_500000_10_items.csv"/>
    <n v="117.746054172515"/>
  </r>
  <r>
    <s v="pi-12-1000-1000-001.kna"/>
    <x v="5"/>
    <x v="2"/>
    <n v="4556"/>
    <n v="4532"/>
    <n v="4476"/>
    <s v="127.34297037124634"/>
    <s v="results/1/item_solutions/pi-12-1000-1000-001.kna_500000_15_items.csv"/>
    <n v="127.342970371246"/>
  </r>
  <r>
    <s v="pi-12-1000-1000-001.kna"/>
    <x v="5"/>
    <x v="3"/>
    <n v="4556"/>
    <n v="4528"/>
    <n v="4514"/>
    <s v="132.48358607292175"/>
    <s v="results/1/item_solutions/pi-12-1000-1000-001.kna_500000_20_items.csv"/>
    <n v="132.48358607292101"/>
  </r>
  <r>
    <s v="pi-12-1000-1000-001.kna"/>
    <x v="5"/>
    <x v="4"/>
    <n v="4556"/>
    <n v="4533"/>
    <n v="4127"/>
    <s v="130.34318709373474"/>
    <s v="results/1/item_solutions/pi-12-1000-1000-001.kna_500000_5_items.csv"/>
    <n v="130.343187093734"/>
  </r>
  <r>
    <s v="pi-12-1000-1000-001.kna"/>
    <x v="6"/>
    <x v="0"/>
    <n v="4556"/>
    <n v="4556"/>
    <n v="4248"/>
    <s v="10.025272369384766"/>
    <s v="results/1/item_solutions/pi-12-1000-1000-001.kna_50000_1_items.csv"/>
    <n v="10.0252723693847"/>
  </r>
  <r>
    <s v="pi-12-1000-1000-001.kna"/>
    <x v="6"/>
    <x v="1"/>
    <n v="4556"/>
    <n v="4497"/>
    <n v="4469"/>
    <s v="14.63386583328247"/>
    <s v="results/1/item_solutions/pi-12-1000-1000-001.kna_50000_10_items.csv"/>
    <n v="14.6338658332824"/>
  </r>
  <r>
    <s v="pi-12-1000-1000-001.kna"/>
    <x v="6"/>
    <x v="2"/>
    <n v="4556"/>
    <n v="4541"/>
    <n v="4051"/>
    <s v="11.29798698425293"/>
    <s v="results/1/item_solutions/pi-12-1000-1000-001.kna_50000_15_items.csv"/>
    <n v="11.297986984252899"/>
  </r>
  <r>
    <s v="pi-12-1000-1000-001.kna"/>
    <x v="6"/>
    <x v="3"/>
    <n v="4556"/>
    <n v="4533"/>
    <n v="4127"/>
    <s v="11.255826711654665"/>
    <s v="results/1/item_solutions/pi-12-1000-1000-001.kna_50000_20_items.csv"/>
    <n v="11.255826711654599"/>
  </r>
  <r>
    <s v="pi-12-1000-1000-001.kna"/>
    <x v="6"/>
    <x v="4"/>
    <n v="4556"/>
    <n v="4532"/>
    <n v="4476"/>
    <s v="12.47083592414856"/>
    <s v="results/1/item_solutions/pi-12-1000-1000-001.kna_50000_5_items.csv"/>
    <n v="12.470835924148499"/>
  </r>
  <r>
    <s v="pi-12-1000-1000-001.kna"/>
    <x v="7"/>
    <x v="0"/>
    <n v="4556"/>
    <n v="4540"/>
    <n v="4400"/>
    <s v="1.0353460311889648"/>
    <s v="results/1/item_solutions/pi-12-1000-1000-001.kna_5000_1_items.csv"/>
    <n v="1.03534603118896"/>
  </r>
  <r>
    <s v="pi-12-1000-1000-001.kna"/>
    <x v="7"/>
    <x v="1"/>
    <n v="4556"/>
    <n v="4528"/>
    <n v="4514"/>
    <s v="1.2026267051696775"/>
    <s v="results/1/item_solutions/pi-12-1000-1000-001.kna_5000_10_items.csv"/>
    <n v="1.20262670516967"/>
  </r>
  <r>
    <s v="pi-12-1000-1000-001.kna"/>
    <x v="7"/>
    <x v="2"/>
    <n v="4556"/>
    <n v="4528"/>
    <n v="4514"/>
    <s v="1.0795416831970217"/>
    <s v="results/1/item_solutions/pi-12-1000-1000-001.kna_5000_15_items.csv"/>
    <n v="1.0795416831970199"/>
  </r>
  <r>
    <s v="pi-12-1000-1000-001.kna"/>
    <x v="7"/>
    <x v="3"/>
    <n v="4556"/>
    <n v="4528"/>
    <n v="4514"/>
    <s v="1.3187153339385986"/>
    <s v="results/1/item_solutions/pi-12-1000-1000-001.kna_5000_20_items.csv"/>
    <n v="1.31871533393859"/>
  </r>
  <r>
    <s v="pi-12-1000-1000-001.kna"/>
    <x v="7"/>
    <x v="4"/>
    <n v="4556"/>
    <n v="4497"/>
    <n v="4469"/>
    <s v="1.2598962783813477"/>
    <s v="results/1/item_solutions/pi-12-1000-1000-001.kna_5000_5_items.csv"/>
    <n v="1.2598962783813401"/>
  </r>
  <r>
    <s v="pi-12-1000-1000-001.kna"/>
    <x v="8"/>
    <x v="0"/>
    <n v="4556"/>
    <n v="4532"/>
    <n v="4476"/>
    <s v="0.11668062210083"/>
    <s v="results/1/item_solutions/pi-12-1000-1000-001.kna_500_1_items.csv"/>
    <n v="0.11668062210082999"/>
  </r>
  <r>
    <s v="pi-12-1000-1000-001.kna"/>
    <x v="8"/>
    <x v="1"/>
    <n v="4556"/>
    <n v="4544"/>
    <n v="4362"/>
    <s v="0.1127166748046875"/>
    <s v="results/1/item_solutions/pi-12-1000-1000-001.kna_500_10_items.csv"/>
    <n v="0.112716674804687"/>
  </r>
  <r>
    <s v="pi-12-1000-1000-001.kna"/>
    <x v="8"/>
    <x v="2"/>
    <n v="4556"/>
    <n v="4532"/>
    <n v="4476"/>
    <s v="0.1071124076843261"/>
    <s v="results/1/item_solutions/pi-12-1000-1000-001.kna_500_15_items.csv"/>
    <n v="0.10711240768432601"/>
  </r>
  <r>
    <s v="pi-12-1000-1000-001.kna"/>
    <x v="8"/>
    <x v="3"/>
    <n v="4556"/>
    <n v="4528"/>
    <n v="4514"/>
    <s v="0.1321973800659179"/>
    <s v="results/1/item_solutions/pi-12-1000-1000-001.kna_500_20_items.csv"/>
    <n v="0.132197380065917"/>
  </r>
  <r>
    <s v="pi-12-1000-1000-001.kna"/>
    <x v="8"/>
    <x v="4"/>
    <n v="4556"/>
    <n v="4528"/>
    <n v="4514"/>
    <s v="0.1184883117675781"/>
    <s v="results/1/item_solutions/pi-12-1000-1000-001.kna_500_5_items.csv"/>
    <n v="0.118488311767578"/>
  </r>
  <r>
    <s v="pi-12-1000-1000-001.kna"/>
    <x v="9"/>
    <x v="0"/>
    <n v="4556"/>
    <n v="4532"/>
    <n v="4476"/>
    <s v="0.0100011825561523"/>
    <s v="results/1/item_solutions/pi-12-1000-1000-001.kna_50_1_items.csv"/>
    <n v="1.00011825561523E-2"/>
  </r>
  <r>
    <s v="pi-12-1000-1000-001.kna"/>
    <x v="9"/>
    <x v="1"/>
    <n v="4556"/>
    <n v="4528"/>
    <n v="4514"/>
    <s v="0.0145032405853271"/>
    <s v="results/1/item_solutions/pi-12-1000-1000-001.kna_50_10_items.csv"/>
    <n v="1.45032405853271E-2"/>
  </r>
  <r>
    <s v="pi-12-1000-1000-001.kna"/>
    <x v="9"/>
    <x v="2"/>
    <n v="4556"/>
    <n v="4528"/>
    <n v="4514"/>
    <s v="0.0119996070861816"/>
    <s v="results/1/item_solutions/pi-12-1000-1000-001.kna_50_15_items.csv"/>
    <n v="1.1999607086181601E-2"/>
  </r>
  <r>
    <s v="pi-12-1000-1000-001.kna"/>
    <x v="9"/>
    <x v="3"/>
    <n v="4556"/>
    <n v="4528"/>
    <n v="4514"/>
    <s v="0.0169992446899414"/>
    <s v="results/1/item_solutions/pi-12-1000-1000-001.kna_50_20_items.csv"/>
    <n v="1.6999244689941399E-2"/>
  </r>
  <r>
    <s v="pi-12-1000-1000-001.kna"/>
    <x v="9"/>
    <x v="4"/>
    <n v="4556"/>
    <n v="4532"/>
    <n v="4476"/>
    <s v="0.0120341777801513"/>
    <s v="results/1/item_solutions/pi-12-1000-1000-001.kna_50_5_items.csv"/>
    <n v="1.20341777801513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-1000-001.kna"/>
    <x v="0"/>
    <x v="0"/>
    <n v="970"/>
    <n v="960"/>
    <n v="1560"/>
    <s v="32.525567293167114"/>
    <s v="results/3/item_solutions/pi-13-100-1000-001.kna_1000000_1_items.csv"/>
    <n v="32.5255672931671"/>
  </r>
  <r>
    <s v="pi-13-100-1000-001.kna"/>
    <x v="0"/>
    <x v="1"/>
    <n v="970"/>
    <n v="969"/>
    <n v="1989"/>
    <s v="32.90218544006348"/>
    <s v="results/3/item_solutions/pi-13-100-1000-001.kna_1000000_10_items.csv"/>
    <n v="32.902185440063398"/>
  </r>
  <r>
    <s v="pi-13-100-1000-001.kna"/>
    <x v="0"/>
    <x v="2"/>
    <n v="970"/>
    <n v="969"/>
    <n v="1989"/>
    <s v="34.493696451187134"/>
    <s v="results/3/item_solutions/pi-13-100-1000-001.kna_1000000_15_items.csv"/>
    <n v="34.493696451187098"/>
  </r>
  <r>
    <s v="pi-13-100-1000-001.kna"/>
    <x v="0"/>
    <x v="3"/>
    <n v="970"/>
    <n v="969"/>
    <n v="1989"/>
    <s v="33.52549433708191"/>
    <s v="results/3/item_solutions/pi-13-100-1000-001.kna_1000000_20_items.csv"/>
    <n v="33.525494337081902"/>
  </r>
  <r>
    <s v="pi-13-100-1000-001.kna"/>
    <x v="0"/>
    <x v="4"/>
    <n v="970"/>
    <n v="956"/>
    <n v="1716"/>
    <s v="28.66398549079895"/>
    <s v="results/3/item_solutions/pi-13-100-1000-001.kna_1000000_5_items.csv"/>
    <n v="28.6639854907989"/>
  </r>
  <r>
    <s v="pi-13-100-1000-001.kna"/>
    <x v="1"/>
    <x v="0"/>
    <n v="970"/>
    <n v="954"/>
    <n v="1794"/>
    <s v="2.9671339988708496"/>
    <s v="results/3/item_solutions/pi-13-100-1000-001.kna_100000_1_items.csv"/>
    <n v="2.9671339988708398"/>
  </r>
  <r>
    <s v="pi-13-100-1000-001.kna"/>
    <x v="1"/>
    <x v="1"/>
    <n v="970"/>
    <n v="954"/>
    <n v="1794"/>
    <s v="3.2131130695343018"/>
    <s v="results/3/item_solutions/pi-13-100-1000-001.kna_100000_10_items.csv"/>
    <n v="3.2131130695343"/>
  </r>
  <r>
    <s v="pi-13-100-1000-001.kna"/>
    <x v="1"/>
    <x v="2"/>
    <n v="970"/>
    <n v="969"/>
    <n v="1989"/>
    <s v="3.614180326461792"/>
    <s v="results/3/item_solutions/pi-13-100-1000-001.kna_100000_15_items.csv"/>
    <n v="3.6141803264617902"/>
  </r>
  <r>
    <s v="pi-13-100-1000-001.kna"/>
    <x v="1"/>
    <x v="3"/>
    <n v="970"/>
    <n v="969"/>
    <n v="1989"/>
    <s v="3.517341375350952"/>
    <s v="results/3/item_solutions/pi-13-100-1000-001.kna_100000_20_items.csv"/>
    <n v="3.5173413753509499"/>
  </r>
  <r>
    <s v="pi-13-100-1000-001.kna"/>
    <x v="1"/>
    <x v="4"/>
    <n v="970"/>
    <n v="969"/>
    <n v="1989"/>
    <s v="3.6816494464874263"/>
    <s v="results/3/item_solutions/pi-13-100-1000-001.kna_100000_5_items.csv"/>
    <n v="3.6816494464874201"/>
  </r>
  <r>
    <s v="pi-13-100-1000-001.kna"/>
    <x v="2"/>
    <x v="0"/>
    <n v="970"/>
    <n v="969"/>
    <n v="1989"/>
    <s v="0.3237948417663574"/>
    <s v="results/3/item_solutions/pi-13-100-1000-001.kna_10000_1_items.csv"/>
    <n v="0.32379484176635698"/>
  </r>
  <r>
    <s v="pi-13-100-1000-001.kna"/>
    <x v="2"/>
    <x v="1"/>
    <n v="970"/>
    <n v="956"/>
    <n v="1716"/>
    <s v="0.3486459255218506"/>
    <s v="results/3/item_solutions/pi-13-100-1000-001.kna_10000_10_items.csv"/>
    <n v="0.34864592552184998"/>
  </r>
  <r>
    <s v="pi-13-100-1000-001.kna"/>
    <x v="2"/>
    <x v="2"/>
    <n v="970"/>
    <n v="958"/>
    <n v="1638"/>
    <s v="0.3667256832122803"/>
    <s v="results/3/item_solutions/pi-13-100-1000-001.kna_10000_15_items.csv"/>
    <n v="0.36672568321228"/>
  </r>
  <r>
    <s v="pi-13-100-1000-001.kna"/>
    <x v="2"/>
    <x v="3"/>
    <n v="970"/>
    <n v="956"/>
    <n v="1716"/>
    <s v="0.3322145938873291"/>
    <s v="results/3/item_solutions/pi-13-100-1000-001.kna_10000_20_items.csv"/>
    <n v="0.33221459388732899"/>
  </r>
  <r>
    <s v="pi-13-100-1000-001.kna"/>
    <x v="2"/>
    <x v="4"/>
    <n v="970"/>
    <n v="969"/>
    <n v="1989"/>
    <s v="0.3256237506866455"/>
    <s v="results/3/item_solutions/pi-13-100-1000-001.kna_10000_5_items.csv"/>
    <n v="0.32562375068664501"/>
  </r>
  <r>
    <s v="pi-13-100-1000-001.kna"/>
    <x v="3"/>
    <x v="0"/>
    <n v="970"/>
    <n v="969"/>
    <n v="1989"/>
    <s v="0.0319695472717285"/>
    <s v="results/3/item_solutions/pi-13-100-1000-001.kna_1000_1_items.csv"/>
    <n v="3.1969547271728502E-2"/>
  </r>
  <r>
    <s v="pi-13-100-1000-001.kna"/>
    <x v="3"/>
    <x v="1"/>
    <n v="970"/>
    <n v="969"/>
    <n v="1989"/>
    <s v="0.0405163764953613"/>
    <s v="results/3/item_solutions/pi-13-100-1000-001.kna_1000_10_items.csv"/>
    <n v="4.05163764953613E-2"/>
  </r>
  <r>
    <s v="pi-13-100-1000-001.kna"/>
    <x v="3"/>
    <x v="2"/>
    <n v="970"/>
    <n v="969"/>
    <n v="1989"/>
    <s v="0.035041332244873"/>
    <s v="results/3/item_solutions/pi-13-100-1000-001.kna_1000_15_items.csv"/>
    <n v="3.5041332244872998E-2"/>
  </r>
  <r>
    <s v="pi-13-100-1000-001.kna"/>
    <x v="3"/>
    <x v="3"/>
    <n v="970"/>
    <n v="969"/>
    <n v="1989"/>
    <s v="0.0341572761535644"/>
    <s v="results/3/item_solutions/pi-13-100-1000-001.kna_1000_20_items.csv"/>
    <n v="3.4157276153564398E-2"/>
  </r>
  <r>
    <s v="pi-13-100-1000-001.kna"/>
    <x v="3"/>
    <x v="4"/>
    <n v="970"/>
    <n v="969"/>
    <n v="1989"/>
    <s v="0.0320005416870117"/>
    <s v="results/3/item_solutions/pi-13-100-1000-001.kna_1000_5_items.csv"/>
    <n v="3.2000541687011698E-2"/>
  </r>
  <r>
    <s v="pi-13-100-1000-001.kna"/>
    <x v="4"/>
    <x v="0"/>
    <n v="970"/>
    <n v="969"/>
    <n v="1989"/>
    <s v="0.0030357837677001"/>
    <s v="results/3/item_solutions/pi-13-100-1000-001.kna_100_1_items.csv"/>
    <n v="3.0357837677000999E-3"/>
  </r>
  <r>
    <s v="pi-13-100-1000-001.kna"/>
    <x v="4"/>
    <x v="1"/>
    <n v="970"/>
    <n v="969"/>
    <n v="1989"/>
    <s v="0.0030357837677001"/>
    <s v="results/3/item_solutions/pi-13-100-1000-001.kna_100_10_items.csv"/>
    <n v="3.0357837677000999E-3"/>
  </r>
  <r>
    <s v="pi-13-100-1000-001.kna"/>
    <x v="4"/>
    <x v="2"/>
    <n v="970"/>
    <n v="969"/>
    <n v="1989"/>
    <s v="0.003962755203247"/>
    <s v="results/3/item_solutions/pi-13-100-1000-001.kna_100_15_items.csv"/>
    <n v="3.9627552032470001E-3"/>
  </r>
  <r>
    <s v="pi-13-100-1000-001.kna"/>
    <x v="4"/>
    <x v="3"/>
    <n v="970"/>
    <n v="969"/>
    <n v="1989"/>
    <s v="0.0039992332458496"/>
    <s v="results/3/item_solutions/pi-13-100-1000-001.kna_100_20_items.csv"/>
    <n v="3.9992332458495998E-3"/>
  </r>
  <r>
    <s v="pi-13-100-1000-001.kna"/>
    <x v="4"/>
    <x v="4"/>
    <n v="970"/>
    <n v="969"/>
    <n v="1989"/>
    <s v="0.0029983520507812"/>
    <s v="results/3/item_solutions/pi-13-100-1000-001.kna_100_5_items.csv"/>
    <n v="2.9983520507812001E-3"/>
  </r>
  <r>
    <s v="pi-13-100-1000-001.kna"/>
    <x v="5"/>
    <x v="0"/>
    <n v="970"/>
    <n v="969"/>
    <n v="1989"/>
    <s v="18.64244627952576"/>
    <s v="results/3/item_solutions/pi-13-100-1000-001.kna_500000_1_items.csv"/>
    <n v="18.6424462795257"/>
  </r>
  <r>
    <s v="pi-13-100-1000-001.kna"/>
    <x v="5"/>
    <x v="1"/>
    <n v="970"/>
    <n v="969"/>
    <n v="1989"/>
    <s v="17.75822114944458"/>
    <s v="results/3/item_solutions/pi-13-100-1000-001.kna_500000_10_items.csv"/>
    <n v="17.758221149444498"/>
  </r>
  <r>
    <s v="pi-13-100-1000-001.kna"/>
    <x v="5"/>
    <x v="2"/>
    <n v="970"/>
    <n v="969"/>
    <n v="1989"/>
    <s v="22.019073486328125"/>
    <s v="results/3/item_solutions/pi-13-100-1000-001.kna_500000_15_items.csv"/>
    <n v="22.0190734863281"/>
  </r>
  <r>
    <s v="pi-13-100-1000-001.kna"/>
    <x v="5"/>
    <x v="3"/>
    <n v="970"/>
    <n v="969"/>
    <n v="1989"/>
    <s v="23.397507667541504"/>
    <s v="results/3/item_solutions/pi-13-100-1000-001.kna_500000_20_items.csv"/>
    <n v="23.3975076675415"/>
  </r>
  <r>
    <s v="pi-13-100-1000-001.kna"/>
    <x v="5"/>
    <x v="4"/>
    <n v="970"/>
    <n v="960"/>
    <n v="1560"/>
    <s v="15.385166645050049"/>
    <s v="results/3/item_solutions/pi-13-100-1000-001.kna_500000_5_items.csv"/>
    <n v="15.385166645050001"/>
  </r>
  <r>
    <s v="pi-13-100-1000-001.kna"/>
    <x v="6"/>
    <x v="0"/>
    <n v="970"/>
    <n v="956"/>
    <n v="1716"/>
    <s v="1.473513126373291"/>
    <s v="results/3/item_solutions/pi-13-100-1000-001.kna_50000_1_items.csv"/>
    <n v="1.4735131263732899"/>
  </r>
  <r>
    <s v="pi-13-100-1000-001.kna"/>
    <x v="6"/>
    <x v="1"/>
    <n v="970"/>
    <n v="956"/>
    <n v="1716"/>
    <s v="1.6426265239715576"/>
    <s v="results/3/item_solutions/pi-13-100-1000-001.kna_50000_10_items.csv"/>
    <n v="1.6426265239715501"/>
  </r>
  <r>
    <s v="pi-13-100-1000-001.kna"/>
    <x v="6"/>
    <x v="2"/>
    <n v="970"/>
    <n v="969"/>
    <n v="1989"/>
    <s v="1.6228981018066406"/>
    <s v="results/3/item_solutions/pi-13-100-1000-001.kna_50000_15_items.csv"/>
    <n v="1.62289810180664"/>
  </r>
  <r>
    <s v="pi-13-100-1000-001.kna"/>
    <x v="6"/>
    <x v="3"/>
    <n v="970"/>
    <n v="969"/>
    <n v="1989"/>
    <s v="1.7622015476226809"/>
    <s v="results/3/item_solutions/pi-13-100-1000-001.kna_50000_20_items.csv"/>
    <n v="1.76220154762268"/>
  </r>
  <r>
    <s v="pi-13-100-1000-001.kna"/>
    <x v="6"/>
    <x v="4"/>
    <n v="970"/>
    <n v="969"/>
    <n v="1989"/>
    <s v="1.6156044006347656"/>
    <s v="results/3/item_solutions/pi-13-100-1000-001.kna_50000_5_items.csv"/>
    <n v="1.6156044006347601"/>
  </r>
  <r>
    <s v="pi-13-100-1000-001.kna"/>
    <x v="7"/>
    <x v="0"/>
    <n v="970"/>
    <n v="954"/>
    <n v="1794"/>
    <s v="0.1520452499389648"/>
    <s v="results/3/item_solutions/pi-13-100-1000-001.kna_5000_1_items.csv"/>
    <n v="0.15204524993896401"/>
  </r>
  <r>
    <s v="pi-13-100-1000-001.kna"/>
    <x v="7"/>
    <x v="1"/>
    <n v="970"/>
    <n v="956"/>
    <n v="1716"/>
    <s v="0.156991958618164"/>
    <s v="results/3/item_solutions/pi-13-100-1000-001.kna_5000_10_items.csv"/>
    <n v="0.15699195861816401"/>
  </r>
  <r>
    <s v="pi-13-100-1000-001.kna"/>
    <x v="7"/>
    <x v="2"/>
    <n v="970"/>
    <n v="958"/>
    <n v="1638"/>
    <s v="0.166736364364624"/>
    <s v="results/3/item_solutions/pi-13-100-1000-001.kna_5000_15_items.csv"/>
    <n v="0.166736364364624"/>
  </r>
  <r>
    <s v="pi-13-100-1000-001.kna"/>
    <x v="7"/>
    <x v="3"/>
    <n v="970"/>
    <n v="969"/>
    <n v="1989"/>
    <s v="0.1861524581909179"/>
    <s v="results/3/item_solutions/pi-13-100-1000-001.kna_5000_20_items.csv"/>
    <n v="0.186152458190917"/>
  </r>
  <r>
    <s v="pi-13-100-1000-001.kna"/>
    <x v="7"/>
    <x v="4"/>
    <n v="970"/>
    <n v="969"/>
    <n v="1989"/>
    <s v="0.1572208404541015"/>
    <s v="results/3/item_solutions/pi-13-100-1000-001.kna_5000_5_items.csv"/>
    <n v="0.15722084045410101"/>
  </r>
  <r>
    <s v="pi-13-100-1000-001.kna"/>
    <x v="8"/>
    <x v="0"/>
    <n v="970"/>
    <n v="956"/>
    <n v="1716"/>
    <s v="0.0199661254882812"/>
    <s v="results/3/item_solutions/pi-13-100-1000-001.kna_500_1_items.csv"/>
    <n v="1.9966125488281201E-2"/>
  </r>
  <r>
    <s v="pi-13-100-1000-001.kna"/>
    <x v="8"/>
    <x v="1"/>
    <n v="970"/>
    <n v="969"/>
    <n v="1989"/>
    <s v="0.0159835815429687"/>
    <s v="results/3/item_solutions/pi-13-100-1000-001.kna_500_10_items.csv"/>
    <n v="1.5983581542968701E-2"/>
  </r>
  <r>
    <s v="pi-13-100-1000-001.kna"/>
    <x v="8"/>
    <x v="2"/>
    <n v="970"/>
    <n v="958"/>
    <n v="1638"/>
    <s v="0.0150339603424072"/>
    <s v="results/3/item_solutions/pi-13-100-1000-001.kna_500_15_items.csv"/>
    <n v="1.5033960342407201E-2"/>
  </r>
  <r>
    <s v="pi-13-100-1000-001.kna"/>
    <x v="8"/>
    <x v="3"/>
    <n v="970"/>
    <n v="958"/>
    <n v="1638"/>
    <s v="0.0184037685394287"/>
    <s v="results/3/item_solutions/pi-13-100-1000-001.kna_500_20_items.csv"/>
    <n v="1.8403768539428701E-2"/>
  </r>
  <r>
    <s v="pi-13-100-1000-001.kna"/>
    <x v="8"/>
    <x v="4"/>
    <n v="970"/>
    <n v="969"/>
    <n v="1989"/>
    <s v="0.0187957286834716"/>
    <s v="results/3/item_solutions/pi-13-100-1000-001.kna_500_5_items.csv"/>
    <n v="1.87957286834716E-2"/>
  </r>
  <r>
    <s v="pi-13-100-1000-001.kna"/>
    <x v="9"/>
    <x v="0"/>
    <n v="970"/>
    <n v="958"/>
    <n v="1638"/>
    <s v="0.0019991397857666"/>
    <s v="results/3/item_solutions/pi-13-100-1000-001.kna_50_1_items.csv"/>
    <n v="1.9991397857665998E-3"/>
  </r>
  <r>
    <s v="pi-13-100-1000-001.kna"/>
    <x v="9"/>
    <x v="1"/>
    <n v="970"/>
    <n v="969"/>
    <n v="1989"/>
    <s v="0.0020153522491455"/>
    <s v="results/3/item_solutions/pi-13-100-1000-001.kna_50_10_items.csv"/>
    <n v="2.0153522491455E-3"/>
  </r>
  <r>
    <s v="pi-13-100-1000-001.kna"/>
    <x v="9"/>
    <x v="2"/>
    <n v="970"/>
    <n v="958"/>
    <n v="1638"/>
    <s v="0.0020334720611572"/>
    <s v="results/3/item_solutions/pi-13-100-1000-001.kna_50_15_items.csv"/>
    <n v="2.0334720611572001E-3"/>
  </r>
  <r>
    <s v="pi-13-100-1000-001.kna"/>
    <x v="9"/>
    <x v="3"/>
    <n v="970"/>
    <n v="969"/>
    <n v="1989"/>
    <s v="0.0020322799682617"/>
    <s v="results/3/item_solutions/pi-13-100-1000-001.kna_50_20_items.csv"/>
    <n v="2.0322799682617001E-3"/>
  </r>
  <r>
    <s v="pi-13-100-1000-001.kna"/>
    <x v="9"/>
    <x v="4"/>
    <n v="970"/>
    <n v="960"/>
    <n v="1560"/>
    <s v="0.0020039081573486"/>
    <s v="results/3/item_solutions/pi-13-100-1000-001.kna_50_5_items.csv"/>
    <n v="2.0039081573485999E-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3-1000-1000-001.kna"/>
    <x v="0"/>
    <x v="0"/>
    <n v="3177"/>
    <n v="3164"/>
    <n v="4524"/>
    <s v="213.026136636734"/>
    <s v="results/4/item_solutions/pi-13-1000-1000-001.kna_1000000_1_items.csv"/>
    <n v="213.02613663673401"/>
  </r>
  <r>
    <s v="pi-13-1000-1000-001.kna"/>
    <x v="0"/>
    <x v="1"/>
    <n v="3177"/>
    <n v="3170"/>
    <n v="4290"/>
    <s v="259.6795561313629"/>
    <s v="results/4/item_solutions/pi-13-1000-1000-001.kna_1000000_10_items.csv"/>
    <n v="259.67955613136201"/>
  </r>
  <r>
    <s v="pi-13-1000-1000-001.kna"/>
    <x v="0"/>
    <x v="2"/>
    <n v="3177"/>
    <n v="3162"/>
    <n v="4602"/>
    <s v="260.35935616493225"/>
    <s v="results/4/item_solutions/pi-13-1000-1000-001.kna_1000000_15_items.csv"/>
    <n v="260.35935616493202"/>
  </r>
  <r>
    <s v="pi-13-1000-1000-001.kna"/>
    <x v="0"/>
    <x v="3"/>
    <n v="3177"/>
    <n v="3162"/>
    <n v="4602"/>
    <s v="268.4213345050812"/>
    <s v="results/4/item_solutions/pi-13-1000-1000-001.kna_1000000_20_items.csv"/>
    <n v="268.42133450508101"/>
  </r>
  <r>
    <s v="pi-13-1000-1000-001.kna"/>
    <x v="0"/>
    <x v="4"/>
    <n v="3177"/>
    <n v="3172"/>
    <n v="4212"/>
    <s v="239.14586734771729"/>
    <s v="results/4/item_solutions/pi-13-1000-1000-001.kna_1000000_5_items.csv"/>
    <n v="239.145867347717"/>
  </r>
  <r>
    <s v="pi-13-1000-1000-001.kna"/>
    <x v="1"/>
    <x v="0"/>
    <n v="3177"/>
    <n v="3174"/>
    <n v="4134"/>
    <s v="25.41683888435364"/>
    <s v="results/4/item_solutions/pi-13-1000-1000-001.kna_100000_1_items.csv"/>
    <n v="25.416838884353599"/>
  </r>
  <r>
    <s v="pi-13-1000-1000-001.kna"/>
    <x v="1"/>
    <x v="1"/>
    <n v="3177"/>
    <n v="3173"/>
    <n v="4953"/>
    <s v="25.507731199264526"/>
    <s v="results/4/item_solutions/pi-13-1000-1000-001.kna_100000_10_items.csv"/>
    <n v="25.507731199264501"/>
  </r>
  <r>
    <s v="pi-13-1000-1000-001.kna"/>
    <x v="1"/>
    <x v="2"/>
    <n v="3177"/>
    <n v="3164"/>
    <n v="4524"/>
    <s v="24.171571731567383"/>
    <s v="results/4/item_solutions/pi-13-1000-1000-001.kna_100000_15_items.csv"/>
    <n v="24.171571731567301"/>
  </r>
  <r>
    <s v="pi-13-1000-1000-001.kna"/>
    <x v="1"/>
    <x v="3"/>
    <n v="3177"/>
    <n v="3162"/>
    <n v="4602"/>
    <s v="24.58322811126709"/>
    <s v="results/4/item_solutions/pi-13-1000-1000-001.kna_100000_20_items.csv"/>
    <n v="24.583228111267001"/>
  </r>
  <r>
    <s v="pi-13-1000-1000-001.kna"/>
    <x v="1"/>
    <x v="4"/>
    <n v="3177"/>
    <n v="3160"/>
    <n v="4680"/>
    <s v="29.87107563018799"/>
    <s v="results/4/item_solutions/pi-13-1000-1000-001.kna_100000_5_items.csv"/>
    <n v="29.871075630187899"/>
  </r>
  <r>
    <s v="pi-13-1000-1000-001.kna"/>
    <x v="2"/>
    <x v="0"/>
    <n v="3177"/>
    <n v="3162"/>
    <n v="4602"/>
    <s v="2.506472110748291"/>
    <s v="results/4/item_solutions/pi-13-1000-1000-001.kna_10000_1_items.csv"/>
    <n v="2.5064721107482901"/>
  </r>
  <r>
    <s v="pi-13-1000-1000-001.kna"/>
    <x v="2"/>
    <x v="1"/>
    <n v="3177"/>
    <n v="3168"/>
    <n v="4368"/>
    <s v="2.1455841064453125"/>
    <s v="results/4/item_solutions/pi-13-1000-1000-001.kna_10000_10_items.csv"/>
    <n v="2.1455841064453098"/>
  </r>
  <r>
    <s v="pi-13-1000-1000-001.kna"/>
    <x v="2"/>
    <x v="2"/>
    <n v="3177"/>
    <n v="3164"/>
    <n v="4524"/>
    <s v="2.508488416671753"/>
    <s v="results/4/item_solutions/pi-13-1000-1000-001.kna_10000_15_items.csv"/>
    <n v="2.5084884166717498"/>
  </r>
  <r>
    <s v="pi-13-1000-1000-001.kna"/>
    <x v="2"/>
    <x v="3"/>
    <n v="3177"/>
    <n v="3162"/>
    <n v="4602"/>
    <s v="2.609340190887451"/>
    <s v="results/4/item_solutions/pi-13-1000-1000-001.kna_10000_20_items.csv"/>
    <n v="2.6093401908874498"/>
  </r>
  <r>
    <s v="pi-13-1000-1000-001.kna"/>
    <x v="2"/>
    <x v="4"/>
    <n v="3177"/>
    <n v="3164"/>
    <n v="4524"/>
    <s v="2.311819553375244"/>
    <s v="results/4/item_solutions/pi-13-1000-1000-001.kna_10000_5_items.csv"/>
    <n v="2.3118195533752401"/>
  </r>
  <r>
    <s v="pi-13-1000-1000-001.kna"/>
    <x v="3"/>
    <x v="0"/>
    <n v="3177"/>
    <n v="3169"/>
    <n v="5109"/>
    <s v="0.2347142696380615"/>
    <s v="results/4/item_solutions/pi-13-1000-1000-001.kna_1000_1_items.csv"/>
    <n v="0.234714269638061"/>
  </r>
  <r>
    <s v="pi-13-1000-1000-001.kna"/>
    <x v="3"/>
    <x v="1"/>
    <n v="3177"/>
    <n v="3162"/>
    <n v="4602"/>
    <s v="0.2636470794677734"/>
    <s v="results/4/item_solutions/pi-13-1000-1000-001.kna_1000_10_items.csv"/>
    <n v="0.26364707946777299"/>
  </r>
  <r>
    <s v="pi-13-1000-1000-001.kna"/>
    <x v="3"/>
    <x v="2"/>
    <n v="3177"/>
    <n v="3175"/>
    <n v="4875"/>
    <s v="0.2306275367736816"/>
    <s v="results/4/item_solutions/pi-13-1000-1000-001.kna_1000_15_items.csv"/>
    <n v="0.230627536773681"/>
  </r>
  <r>
    <s v="pi-13-1000-1000-001.kna"/>
    <x v="3"/>
    <x v="3"/>
    <n v="3177"/>
    <n v="3171"/>
    <n v="5031"/>
    <s v="0.2509124279022217"/>
    <s v="results/4/item_solutions/pi-13-1000-1000-001.kna_1000_20_items.csv"/>
    <n v="0.25091242790222101"/>
  </r>
  <r>
    <s v="pi-13-1000-1000-001.kna"/>
    <x v="3"/>
    <x v="4"/>
    <n v="3177"/>
    <n v="3160"/>
    <n v="4680"/>
    <s v="0.2347674369812011"/>
    <s v="results/4/item_solutions/pi-13-1000-1000-001.kna_1000_5_items.csv"/>
    <n v="0.23476743698120101"/>
  </r>
  <r>
    <s v="pi-13-1000-1000-001.kna"/>
    <x v="4"/>
    <x v="0"/>
    <n v="3177"/>
    <n v="3175"/>
    <n v="4875"/>
    <s v="0.0279996395111084"/>
    <s v="results/4/item_solutions/pi-13-1000-1000-001.kna_100_1_items.csv"/>
    <n v="2.7999639511108398E-2"/>
  </r>
  <r>
    <s v="pi-13-1000-1000-001.kna"/>
    <x v="4"/>
    <x v="1"/>
    <n v="3177"/>
    <n v="3162"/>
    <n v="4602"/>
    <s v="0.0239753723144531"/>
    <s v="results/4/item_solutions/pi-13-1000-1000-001.kna_100_10_items.csv"/>
    <n v="2.3975372314453101E-2"/>
  </r>
  <r>
    <s v="pi-13-1000-1000-001.kna"/>
    <x v="4"/>
    <x v="2"/>
    <n v="3177"/>
    <n v="3171"/>
    <n v="5031"/>
    <s v="0.0299999713897705"/>
    <s v="results/4/item_solutions/pi-13-1000-1000-001.kna_100_15_items.csv"/>
    <n v="2.9999971389770501E-2"/>
  </r>
  <r>
    <s v="pi-13-1000-1000-001.kna"/>
    <x v="4"/>
    <x v="3"/>
    <n v="3177"/>
    <n v="3171"/>
    <n v="5031"/>
    <s v="0.0240423679351806"/>
    <s v="results/4/item_solutions/pi-13-1000-1000-001.kna_100_20_items.csv"/>
    <n v="2.4042367935180602E-2"/>
  </r>
  <r>
    <s v="pi-13-1000-1000-001.kna"/>
    <x v="4"/>
    <x v="4"/>
    <n v="3177"/>
    <n v="3169"/>
    <n v="5109"/>
    <s v="0.0290296077728271"/>
    <s v="results/4/item_solutions/pi-13-1000-1000-001.kna_100_5_items.csv"/>
    <n v="2.90296077728271E-2"/>
  </r>
  <r>
    <s v="pi-13-1000-1000-001.kna"/>
    <x v="5"/>
    <x v="0"/>
    <n v="3177"/>
    <n v="3177"/>
    <n v="4797"/>
    <s v="99.01526808738708"/>
    <s v="results/4/item_solutions/pi-13-1000-1000-001.kna_500000_1_items.csv"/>
    <n v="99.015268087387"/>
  </r>
  <r>
    <s v="pi-13-1000-1000-001.kna"/>
    <x v="5"/>
    <x v="1"/>
    <n v="3177"/>
    <n v="3162"/>
    <n v="4602"/>
    <s v="143.12851238250732"/>
    <s v="results/4/item_solutions/pi-13-1000-1000-001.kna_500000_10_items.csv"/>
    <n v="143.12851238250701"/>
  </r>
  <r>
    <s v="pi-13-1000-1000-001.kna"/>
    <x v="5"/>
    <x v="2"/>
    <n v="3177"/>
    <n v="3174"/>
    <n v="4134"/>
    <s v="151.14641952514648"/>
    <s v="results/4/item_solutions/pi-13-1000-1000-001.kna_500000_15_items.csv"/>
    <n v="151.146419525146"/>
  </r>
  <r>
    <s v="pi-13-1000-1000-001.kna"/>
    <x v="5"/>
    <x v="3"/>
    <n v="3177"/>
    <n v="3162"/>
    <n v="4602"/>
    <s v="125.42586922645567"/>
    <s v="results/4/item_solutions/pi-13-1000-1000-001.kna_500000_20_items.csv"/>
    <n v="125.42586922645501"/>
  </r>
  <r>
    <s v="pi-13-1000-1000-001.kna"/>
    <x v="5"/>
    <x v="4"/>
    <n v="3177"/>
    <n v="3162"/>
    <n v="4602"/>
    <s v="133.3496572971344"/>
    <s v="results/4/item_solutions/pi-13-1000-1000-001.kna_500000_5_items.csv"/>
    <n v="133.349657297134"/>
  </r>
  <r>
    <s v="pi-13-1000-1000-001.kna"/>
    <x v="6"/>
    <x v="0"/>
    <n v="3177"/>
    <n v="3170"/>
    <n v="4290"/>
    <s v="11.113141298294067"/>
    <s v="results/4/item_solutions/pi-13-1000-1000-001.kna_50000_1_items.csv"/>
    <n v="11.113141298294"/>
  </r>
  <r>
    <s v="pi-13-1000-1000-001.kna"/>
    <x v="6"/>
    <x v="1"/>
    <n v="3177"/>
    <n v="3171"/>
    <n v="5031"/>
    <s v="11.99353551864624"/>
    <s v="results/4/item_solutions/pi-13-1000-1000-001.kna_50000_10_items.csv"/>
    <n v="11.993535518646199"/>
  </r>
  <r>
    <s v="pi-13-1000-1000-001.kna"/>
    <x v="6"/>
    <x v="2"/>
    <n v="3177"/>
    <n v="3168"/>
    <n v="4368"/>
    <s v="15.071959257125854"/>
    <s v="results/4/item_solutions/pi-13-1000-1000-001.kna_50000_15_items.csv"/>
    <n v="15.071959257125799"/>
  </r>
  <r>
    <s v="pi-13-1000-1000-001.kna"/>
    <x v="6"/>
    <x v="3"/>
    <n v="3177"/>
    <n v="3162"/>
    <n v="4602"/>
    <s v="13.135695457458496"/>
    <s v="results/4/item_solutions/pi-13-1000-1000-001.kna_50000_20_items.csv"/>
    <n v="13.1356954574584"/>
  </r>
  <r>
    <s v="pi-13-1000-1000-001.kna"/>
    <x v="6"/>
    <x v="4"/>
    <n v="3177"/>
    <n v="3166"/>
    <n v="4446"/>
    <s v="11.11534833908081"/>
    <s v="results/4/item_solutions/pi-13-1000-1000-001.kna_50000_5_items.csv"/>
    <n v="11.1153483390808"/>
  </r>
  <r>
    <s v="pi-13-1000-1000-001.kna"/>
    <x v="7"/>
    <x v="0"/>
    <n v="3177"/>
    <n v="3177"/>
    <n v="4797"/>
    <s v="1.2119309902191162"/>
    <s v="results/4/item_solutions/pi-13-1000-1000-001.kna_5000_1_items.csv"/>
    <n v="1.21193099021911"/>
  </r>
  <r>
    <s v="pi-13-1000-1000-001.kna"/>
    <x v="7"/>
    <x v="1"/>
    <n v="3177"/>
    <n v="3173"/>
    <n v="4953"/>
    <s v="1.4484531879425049"/>
    <s v="results/4/item_solutions/pi-13-1000-1000-001.kna_5000_10_items.csv"/>
    <n v="1.4484531879425"/>
  </r>
  <r>
    <s v="pi-13-1000-1000-001.kna"/>
    <x v="7"/>
    <x v="2"/>
    <n v="3177"/>
    <n v="3160"/>
    <n v="4680"/>
    <s v="1.2206552028656006"/>
    <s v="results/4/item_solutions/pi-13-1000-1000-001.kna_5000_15_items.csv"/>
    <n v="1.2206552028655999"/>
  </r>
  <r>
    <s v="pi-13-1000-1000-001.kna"/>
    <x v="7"/>
    <x v="3"/>
    <n v="3177"/>
    <n v="3177"/>
    <n v="4797"/>
    <s v="1.21797513961792"/>
    <s v="results/4/item_solutions/pi-13-1000-1000-001.kna_5000_20_items.csv"/>
    <n v="1.2179751396179199"/>
  </r>
  <r>
    <s v="pi-13-1000-1000-001.kna"/>
    <x v="7"/>
    <x v="4"/>
    <n v="3177"/>
    <n v="3177"/>
    <n v="4797"/>
    <s v="1.3949222564697266"/>
    <s v="results/4/item_solutions/pi-13-1000-1000-001.kna_5000_5_items.csv"/>
    <n v="1.3949222564697199"/>
  </r>
  <r>
    <s v="pi-13-1000-1000-001.kna"/>
    <x v="8"/>
    <x v="0"/>
    <n v="3177"/>
    <n v="3160"/>
    <n v="4680"/>
    <s v="0.1075139045715332"/>
    <s v="results/4/item_solutions/pi-13-1000-1000-001.kna_500_1_items.csv"/>
    <n v="0.10751390457153299"/>
  </r>
  <r>
    <s v="pi-13-1000-1000-001.kna"/>
    <x v="8"/>
    <x v="1"/>
    <n v="3177"/>
    <n v="3175"/>
    <n v="4875"/>
    <s v="0.121551513671875"/>
    <s v="results/4/item_solutions/pi-13-1000-1000-001.kna_500_10_items.csv"/>
    <n v="0.121551513671875"/>
  </r>
  <r>
    <s v="pi-13-1000-1000-001.kna"/>
    <x v="8"/>
    <x v="2"/>
    <n v="3177"/>
    <n v="3173"/>
    <n v="4953"/>
    <s v="0.1361401081085205"/>
    <s v="results/4/item_solutions/pi-13-1000-1000-001.kna_500_15_items.csv"/>
    <n v="0.13614010810852001"/>
  </r>
  <r>
    <s v="pi-13-1000-1000-001.kna"/>
    <x v="8"/>
    <x v="3"/>
    <n v="3177"/>
    <n v="3171"/>
    <n v="5031"/>
    <s v="0.1275420188903808"/>
    <s v="results/4/item_solutions/pi-13-1000-1000-001.kna_500_20_items.csv"/>
    <n v="0.12754201889038"/>
  </r>
  <r>
    <s v="pi-13-1000-1000-001.kna"/>
    <x v="8"/>
    <x v="4"/>
    <n v="3177"/>
    <n v="3171"/>
    <n v="5031"/>
    <s v="0.1210343837738037"/>
    <s v="results/4/item_solutions/pi-13-1000-1000-001.kna_500_5_items.csv"/>
    <n v="0.121034383773803"/>
  </r>
  <r>
    <s v="pi-13-1000-1000-001.kna"/>
    <x v="9"/>
    <x v="0"/>
    <n v="3177"/>
    <n v="3177"/>
    <n v="4797"/>
    <s v="0.011998176574707"/>
    <s v="results/4/item_solutions/pi-13-1000-1000-001.kna_50_1_items.csv"/>
    <n v="1.1998176574707E-2"/>
  </r>
  <r>
    <s v="pi-13-1000-1000-001.kna"/>
    <x v="9"/>
    <x v="1"/>
    <n v="3177"/>
    <n v="3173"/>
    <n v="4953"/>
    <s v="0.0150332450866699"/>
    <s v="results/4/item_solutions/pi-13-1000-1000-001.kna_50_10_items.csv"/>
    <n v="1.5033245086669899E-2"/>
  </r>
  <r>
    <s v="pi-13-1000-1000-001.kna"/>
    <x v="9"/>
    <x v="2"/>
    <n v="3177"/>
    <n v="3169"/>
    <n v="5109"/>
    <s v="0.0170750617980957"/>
    <s v="results/4/item_solutions/pi-13-1000-1000-001.kna_50_15_items.csv"/>
    <n v="1.70750617980957E-2"/>
  </r>
  <r>
    <s v="pi-13-1000-1000-001.kna"/>
    <x v="9"/>
    <x v="3"/>
    <n v="3177"/>
    <n v="3175"/>
    <n v="4875"/>
    <s v="0.0139977931976318"/>
    <s v="results/4/item_solutions/pi-13-1000-1000-001.kna_50_20_items.csv"/>
    <n v="1.39977931976318E-2"/>
  </r>
  <r>
    <s v="pi-13-1000-1000-001.kna"/>
    <x v="9"/>
    <x v="4"/>
    <n v="3177"/>
    <n v="3175"/>
    <n v="4875"/>
    <s v="0.0130348205566406"/>
    <s v="results/4/item_solutions/pi-13-1000-1000-001.kna_50_5_items.csv"/>
    <n v="1.3034820556640601E-2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pi-15-100-1000-001.kna"/>
    <x v="0"/>
    <x v="0"/>
    <n v="997"/>
    <n v="997"/>
    <n v="1002"/>
    <s v="19.119575262069706"/>
    <s v="results/6/item_solutions/pi-15-100-1000-001.kna_1000000_1_items.csv"/>
    <n v="19.119575262069699"/>
  </r>
  <r>
    <s v="pi-15-100-1000-001.kna"/>
    <x v="0"/>
    <x v="1"/>
    <n v="997"/>
    <n v="996"/>
    <n v="1002"/>
    <s v="0.0009691715240478"/>
    <s v="results/6/item_solutions/pi-15-100-1000-001.kna_1000000_10_items.csv"/>
    <n v="9.6917152404779995E-4"/>
  </r>
  <r>
    <s v="pi-15-100-1000-001.kna"/>
    <x v="0"/>
    <x v="2"/>
    <n v="997"/>
    <n v="997"/>
    <n v="1005"/>
    <s v="0.0019989013671875"/>
    <s v="results/6/item_solutions/pi-15-100-1000-001.kna_1000000_15_items.csv"/>
    <n v="1.9989013671875E-3"/>
  </r>
  <r>
    <s v="pi-15-100-1000-001.kna"/>
    <x v="0"/>
    <x v="3"/>
    <n v="997"/>
    <n v="997"/>
    <n v="999"/>
    <s v="0.0010018348693847"/>
    <s v="results/6/item_solutions/pi-15-100-1000-001.kna_1000000_20_items.csv"/>
    <n v="1.0018348693846999E-3"/>
  </r>
  <r>
    <s v="pi-15-100-1000-001.kna"/>
    <x v="0"/>
    <x v="4"/>
    <n v="997"/>
    <n v="997"/>
    <n v="1002"/>
    <s v="23.432671546936035"/>
    <s v="results/6/item_solutions/pi-15-100-1000-001.kna_1000000_5_items.csv"/>
    <n v="23.432671546936"/>
  </r>
  <r>
    <s v="pi-15-100-1000-001.kna"/>
    <x v="1"/>
    <x v="0"/>
    <n v="997"/>
    <n v="997"/>
    <n v="1002"/>
    <s v="1.9012548923492432"/>
    <s v="results/6/item_solutions/pi-15-100-1000-001.kna_100000_1_items.csv"/>
    <n v="1.9012548923492401"/>
  </r>
  <r>
    <s v="pi-15-100-1000-001.kna"/>
    <x v="1"/>
    <x v="1"/>
    <n v="997"/>
    <n v="997"/>
    <n v="1002"/>
    <s v="0.0010004043579101"/>
    <s v="results/6/item_solutions/pi-15-100-1000-001.kna_100000_10_items.csv"/>
    <n v="1.0004043579101001E-3"/>
  </r>
  <r>
    <s v="pi-15-100-1000-001.kna"/>
    <x v="1"/>
    <x v="2"/>
    <n v="997"/>
    <n v="997"/>
    <n v="1002"/>
    <s v="2.513124704360962"/>
    <s v="results/6/item_solutions/pi-15-100-1000-001.kna_100000_15_items.csv"/>
    <n v="2.5131247043609601"/>
  </r>
  <r>
    <s v="pi-15-100-1000-001.kna"/>
    <x v="1"/>
    <x v="3"/>
    <n v="997"/>
    <n v="996"/>
    <n v="1005"/>
    <s v="2.3696627616882324"/>
    <s v="results/6/item_solutions/pi-15-100-1000-001.kna_100000_20_items.csv"/>
    <n v="2.3696627616882302"/>
  </r>
  <r>
    <s v="pi-15-100-1000-001.kna"/>
    <x v="1"/>
    <x v="4"/>
    <n v="997"/>
    <n v="993"/>
    <n v="999"/>
    <s v="2.176194429397583"/>
    <s v="results/6/item_solutions/pi-15-100-1000-001.kna_100000_5_items.csv"/>
    <n v="2.1761944293975799"/>
  </r>
  <r>
    <s v="pi-15-100-1000-001.kna"/>
    <x v="2"/>
    <x v="0"/>
    <n v="997"/>
    <n v="995"/>
    <n v="999"/>
    <s v="0.20918869972229"/>
    <s v="results/6/item_solutions/pi-15-100-1000-001.kna_10000_1_items.csv"/>
    <n v="0.20918869972229001"/>
  </r>
  <r>
    <s v="pi-15-100-1000-001.kna"/>
    <x v="2"/>
    <x v="1"/>
    <n v="997"/>
    <n v="997"/>
    <n v="1002"/>
    <s v="0.2362246513366699"/>
    <s v="results/6/item_solutions/pi-15-100-1000-001.kna_10000_10_items.csv"/>
    <n v="0.23622465133666901"/>
  </r>
  <r>
    <s v="pi-15-100-1000-001.kna"/>
    <x v="2"/>
    <x v="2"/>
    <n v="997"/>
    <n v="997"/>
    <n v="1002"/>
    <s v="0.0009679794311523"/>
    <s v="results/6/item_solutions/pi-15-100-1000-001.kna_10000_15_items.csv"/>
    <n v="9.6797943115229995E-4"/>
  </r>
  <r>
    <s v="pi-15-100-1000-001.kna"/>
    <x v="2"/>
    <x v="3"/>
    <n v="997"/>
    <n v="996"/>
    <n v="1002"/>
    <s v="0.0009963512420654"/>
    <s v="results/6/item_solutions/pi-15-100-1000-001.kna_10000_20_items.csv"/>
    <n v="9.9635124206539998E-4"/>
  </r>
  <r>
    <s v="pi-15-100-1000-001.kna"/>
    <x v="2"/>
    <x v="4"/>
    <n v="997"/>
    <n v="997"/>
    <n v="1002"/>
    <s v="0.2845633029937744"/>
    <s v="results/6/item_solutions/pi-15-100-1000-001.kna_10000_5_items.csv"/>
    <n v="0.28456330299377403"/>
  </r>
  <r>
    <s v="pi-15-100-1000-001.kna"/>
    <x v="3"/>
    <x v="0"/>
    <n v="997"/>
    <n v="997"/>
    <n v="1008"/>
    <s v="0.0230319499969482"/>
    <s v="results/6/item_solutions/pi-15-100-1000-001.kna_1000_1_items.csv"/>
    <n v="2.3031949996948201E-2"/>
  </r>
  <r>
    <s v="pi-15-100-1000-001.kna"/>
    <x v="3"/>
    <x v="1"/>
    <n v="997"/>
    <n v="997"/>
    <n v="1002"/>
    <s v="0.0239992141723632"/>
    <s v="results/6/item_solutions/pi-15-100-1000-001.kna_1000_10_items.csv"/>
    <n v="2.3999214172363201E-2"/>
  </r>
  <r>
    <s v="pi-15-100-1000-001.kna"/>
    <x v="3"/>
    <x v="2"/>
    <n v="997"/>
    <n v="997"/>
    <n v="1002"/>
    <s v="0.0010032653808593"/>
    <s v="results/6/item_solutions/pi-15-100-1000-001.kna_1000_15_items.csv"/>
    <n v="1.0032653808593E-3"/>
  </r>
  <r>
    <s v="pi-15-100-1000-001.kna"/>
    <x v="3"/>
    <x v="3"/>
    <n v="997"/>
    <n v="997"/>
    <n v="1002"/>
    <s v="0.0"/>
    <s v="results/6/item_solutions/pi-15-100-1000-001.kna_1000_20_items.csv"/>
    <n v="0"/>
  </r>
  <r>
    <s v="pi-15-100-1000-001.kna"/>
    <x v="3"/>
    <x v="4"/>
    <n v="997"/>
    <n v="995"/>
    <n v="1002"/>
    <s v="0.0231609344482421"/>
    <s v="results/6/item_solutions/pi-15-100-1000-001.kna_1000_5_items.csv"/>
    <n v="2.3160934448242101E-2"/>
  </r>
  <r>
    <s v="pi-15-100-1000-001.kna"/>
    <x v="4"/>
    <x v="0"/>
    <n v="997"/>
    <n v="995"/>
    <n v="1002"/>
    <s v="0.0030345916748046"/>
    <s v="results/6/item_solutions/pi-15-100-1000-001.kna_100_1_items.csv"/>
    <n v="3.0345916748045999E-3"/>
  </r>
  <r>
    <s v="pi-15-100-1000-001.kna"/>
    <x v="4"/>
    <x v="1"/>
    <n v="997"/>
    <n v="997"/>
    <n v="1002"/>
    <s v="0.0019981861114501"/>
    <s v="results/6/item_solutions/pi-15-100-1000-001.kna_100_10_items.csv"/>
    <n v="1.9981861114500999E-3"/>
  </r>
  <r>
    <s v="pi-15-100-1000-001.kna"/>
    <x v="4"/>
    <x v="2"/>
    <n v="997"/>
    <n v="996"/>
    <n v="1002"/>
    <s v="0.0040004253387451"/>
    <s v="results/6/item_solutions/pi-15-100-1000-001.kna_100_15_items.csv"/>
    <n v="4.0004253387450998E-3"/>
  </r>
  <r>
    <s v="pi-15-100-1000-001.kna"/>
    <x v="4"/>
    <x v="3"/>
    <n v="997"/>
    <n v="997"/>
    <n v="1002"/>
    <s v="0.0010011196136474"/>
    <s v="results/6/item_solutions/pi-15-100-1000-001.kna_100_20_items.csv"/>
    <n v="1.0011196136474E-3"/>
  </r>
  <r>
    <s v="pi-15-100-1000-001.kna"/>
    <x v="4"/>
    <x v="4"/>
    <n v="997"/>
    <n v="997"/>
    <n v="1005"/>
    <s v="0.0030016899108886"/>
    <s v="results/6/item_solutions/pi-15-100-1000-001.kna_100_5_items.csv"/>
    <n v="3.0016899108885999E-3"/>
  </r>
  <r>
    <s v="pi-15-100-1000-001.kna"/>
    <x v="5"/>
    <x v="0"/>
    <n v="997"/>
    <n v="997"/>
    <n v="1002"/>
    <s v="12.26422953605652"/>
    <s v="results/6/item_solutions/pi-15-100-1000-001.kna_500000_1_items.csv"/>
    <n v="12.264229536056501"/>
  </r>
  <r>
    <s v="pi-15-100-1000-001.kna"/>
    <x v="5"/>
    <x v="1"/>
    <n v="997"/>
    <n v="997"/>
    <n v="1005"/>
    <s v="12.32103395462036"/>
    <s v="results/6/item_solutions/pi-15-100-1000-001.kna_500000_10_items.csv"/>
    <n v="12.321033954620299"/>
  </r>
  <r>
    <s v="pi-15-100-1000-001.kna"/>
    <x v="5"/>
    <x v="2"/>
    <n v="997"/>
    <n v="996"/>
    <n v="999"/>
    <s v="0.0009729862213134"/>
    <s v="results/6/item_solutions/pi-15-100-1000-001.kna_500000_15_items.csv"/>
    <n v="9.7298622131340002E-4"/>
  </r>
  <r>
    <s v="pi-15-100-1000-001.kna"/>
    <x v="5"/>
    <x v="3"/>
    <n v="997"/>
    <n v="997"/>
    <n v="1002"/>
    <s v="0.0020327568054199"/>
    <s v="results/6/item_solutions/pi-15-100-1000-001.kna_500000_20_items.csv"/>
    <n v="2.0327568054199002E-3"/>
  </r>
  <r>
    <s v="pi-15-100-1000-001.kna"/>
    <x v="5"/>
    <x v="4"/>
    <n v="997"/>
    <n v="996"/>
    <n v="1002"/>
    <s v="12.38166856765747"/>
    <s v="results/6/item_solutions/pi-15-100-1000-001.kna_500000_5_items.csv"/>
    <n v="12.3816685676574"/>
  </r>
  <r>
    <s v="pi-15-100-1000-001.kna"/>
    <x v="6"/>
    <x v="0"/>
    <n v="997"/>
    <n v="996"/>
    <n v="1002"/>
    <s v="0.9910316467285156"/>
    <s v="results/6/item_solutions/pi-15-100-1000-001.kna_50000_1_items.csv"/>
    <n v="0.99103164672851496"/>
  </r>
  <r>
    <s v="pi-15-100-1000-001.kna"/>
    <x v="6"/>
    <x v="1"/>
    <n v="997"/>
    <n v="997"/>
    <n v="1002"/>
    <s v="1.3269388675689695"/>
    <s v="results/6/item_solutions/pi-15-100-1000-001.kna_50000_10_items.csv"/>
    <n v="1.32693886756896"/>
  </r>
  <r>
    <s v="pi-15-100-1000-001.kna"/>
    <x v="6"/>
    <x v="2"/>
    <n v="997"/>
    <n v="997"/>
    <n v="999"/>
    <s v="0.0"/>
    <s v="results/6/item_solutions/pi-15-100-1000-001.kna_50000_15_items.csv"/>
    <n v="0"/>
  </r>
  <r>
    <s v="pi-15-100-1000-001.kna"/>
    <x v="6"/>
    <x v="3"/>
    <n v="997"/>
    <n v="994"/>
    <n v="1002"/>
    <s v="0.0010085105895996"/>
    <s v="results/6/item_solutions/pi-15-100-1000-001.kna_50000_20_items.csv"/>
    <n v="1.0085105895996001E-3"/>
  </r>
  <r>
    <s v="pi-15-100-1000-001.kna"/>
    <x v="6"/>
    <x v="4"/>
    <n v="997"/>
    <n v="996"/>
    <n v="1002"/>
    <s v="1.4089365005493164"/>
    <s v="results/6/item_solutions/pi-15-100-1000-001.kna_50000_5_items.csv"/>
    <n v="1.40893650054931"/>
  </r>
  <r>
    <s v="pi-15-100-1000-001.kna"/>
    <x v="7"/>
    <x v="0"/>
    <n v="997"/>
    <n v="997"/>
    <n v="1002"/>
    <s v="0.1065914630889892"/>
    <s v="results/6/item_solutions/pi-15-100-1000-001.kna_5000_1_items.csv"/>
    <n v="0.10659146308898899"/>
  </r>
  <r>
    <s v="pi-15-100-1000-001.kna"/>
    <x v="7"/>
    <x v="1"/>
    <n v="997"/>
    <n v="997"/>
    <n v="1002"/>
    <s v="0.0009591579437255"/>
    <s v="results/6/item_solutions/pi-15-100-1000-001.kna_5000_10_items.csv"/>
    <n v="9.5915794372549996E-4"/>
  </r>
  <r>
    <s v="pi-15-100-1000-001.kna"/>
    <x v="7"/>
    <x v="2"/>
    <n v="997"/>
    <n v="997"/>
    <n v="1002"/>
    <s v="0.0009996891021728"/>
    <s v="results/6/item_solutions/pi-15-100-1000-001.kna_5000_15_items.csv"/>
    <n v="9.9968910217279995E-4"/>
  </r>
  <r>
    <s v="pi-15-100-1000-001.kna"/>
    <x v="7"/>
    <x v="3"/>
    <n v="997"/>
    <n v="997"/>
    <n v="1002"/>
    <s v="0.0009646415710449"/>
    <s v="results/6/item_solutions/pi-15-100-1000-001.kna_5000_20_items.csv"/>
    <n v="9.6464157104489997E-4"/>
  </r>
  <r>
    <s v="pi-15-100-1000-001.kna"/>
    <x v="7"/>
    <x v="4"/>
    <n v="997"/>
    <n v="995"/>
    <n v="1002"/>
    <s v="0.1102602481842041"/>
    <s v="results/6/item_solutions/pi-15-100-1000-001.kna_5000_5_items.csv"/>
    <n v="0.110260248184204"/>
  </r>
  <r>
    <s v="pi-15-100-1000-001.kna"/>
    <x v="8"/>
    <x v="0"/>
    <n v="997"/>
    <n v="997"/>
    <n v="1002"/>
    <s v="0.0101048946380615"/>
    <s v="results/6/item_solutions/pi-15-100-1000-001.kna_500_1_items.csv"/>
    <n v="1.0104894638061499E-2"/>
  </r>
  <r>
    <s v="pi-15-100-1000-001.kna"/>
    <x v="8"/>
    <x v="1"/>
    <n v="997"/>
    <n v="996"/>
    <n v="1005"/>
    <s v="0.0121428966522216"/>
    <s v="results/6/item_solutions/pi-15-100-1000-001.kna_500_10_items.csv"/>
    <n v="1.21428966522216E-2"/>
  </r>
  <r>
    <s v="pi-15-100-1000-001.kna"/>
    <x v="8"/>
    <x v="2"/>
    <n v="997"/>
    <n v="995"/>
    <n v="1002"/>
    <s v="0.0009963512420654"/>
    <s v="results/6/item_solutions/pi-15-100-1000-001.kna_500_15_items.csv"/>
    <n v="9.9635124206539998E-4"/>
  </r>
  <r>
    <s v="pi-15-100-1000-001.kna"/>
    <x v="8"/>
    <x v="3"/>
    <n v="997"/>
    <n v="997"/>
    <n v="1005"/>
    <s v="0.0010371208190917"/>
    <s v="results/6/item_solutions/pi-15-100-1000-001.kna_500_20_items.csv"/>
    <n v="1.0371208190916999E-3"/>
  </r>
  <r>
    <s v="pi-15-100-1000-001.kna"/>
    <x v="8"/>
    <x v="4"/>
    <n v="997"/>
    <n v="996"/>
    <n v="1005"/>
    <s v="0.0110344886779785"/>
    <s v="results/6/item_solutions/pi-15-100-1000-001.kna_500_5_items.csv"/>
    <n v="1.10344886779785E-2"/>
  </r>
  <r>
    <s v="pi-15-100-1000-001.kna"/>
    <x v="9"/>
    <x v="0"/>
    <n v="997"/>
    <n v="995"/>
    <n v="999"/>
    <s v="0.0020036697387695"/>
    <s v="results/6/item_solutions/pi-15-100-1000-001.kna_50_1_items.csv"/>
    <n v="2.0036697387695E-3"/>
  </r>
  <r>
    <s v="pi-15-100-1000-001.kna"/>
    <x v="9"/>
    <x v="1"/>
    <n v="997"/>
    <n v="996"/>
    <n v="1002"/>
    <s v="0.0009996891021728"/>
    <s v="results/6/item_solutions/pi-15-100-1000-001.kna_50_10_items.csv"/>
    <n v="9.9968910217279995E-4"/>
  </r>
  <r>
    <s v="pi-15-100-1000-001.kna"/>
    <x v="9"/>
    <x v="2"/>
    <n v="997"/>
    <n v="997"/>
    <n v="1002"/>
    <s v="0.0009996891021728"/>
    <s v="results/6/item_solutions/pi-15-100-1000-001.kna_50_15_items.csv"/>
    <n v="9.9968910217279995E-4"/>
  </r>
  <r>
    <s v="pi-15-100-1000-001.kna"/>
    <x v="9"/>
    <x v="3"/>
    <n v="997"/>
    <n v="997"/>
    <n v="1005"/>
    <s v="0.0019998550415039"/>
    <s v="results/6/item_solutions/pi-15-100-1000-001.kna_50_20_items.csv"/>
    <n v="1.9998550415039002E-3"/>
  </r>
  <r>
    <s v="pi-15-100-1000-001.kna"/>
    <x v="9"/>
    <x v="4"/>
    <n v="997"/>
    <n v="997"/>
    <n v="1002"/>
    <s v="0.0009932518005371"/>
    <s v="results/6/item_solutions/pi-15-100-1000-001.kna_50_5_items.csv"/>
    <n v="9.9325180053710005E-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EAD388-CB39-498E-AAF8-C23FDEEDF022}" name="Tableau croisé dynamique4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4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B34F02-CFD7-4DF8-A12A-63E3294D3546}" name="Tableau croisé dynamique3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8FEECA9-8FCB-4847-8091-44DAF2F65CD2}" name="Tableau croisé dynamique6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11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34DE0E-72C6-455B-8329-44A432F67343}" name="Tableau croisé dynamique5" cacheId="1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7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F1C74C-98DB-4AB6-AFF0-0F76A1D53DB6}" name="Tableau croisé dynamique8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8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1F6A12-814D-4D26-B3D4-FFB52D1D4850}" name="Tableau croisé dynamique7" cacheId="2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A2BA42-B4F2-4492-9A0D-111DB0E949E0}" name="Tableau croisé dynamique10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omme de Total profit" fld="5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B343E-E961-4DBC-9CC4-93871A1B0269}" name="Tableau croisé dynamique9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1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277161-4A35-4358-A48B-40BFF2D9F5EE}" name="Tableau croisé dynamique12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6">
  <location ref="A77:B83" firstHeaderRow="1" firstDataRow="1" firstDataCol="1"/>
  <pivotFields count="9">
    <pivotField showAll="0"/>
    <pivotField showAll="0"/>
    <pivotField axis="axisRow" showAll="0">
      <items count="6">
        <item x="0"/>
        <item x="4"/>
        <item x="1"/>
        <item x="2"/>
        <item x="3"/>
        <item t="default"/>
      </items>
    </pivotField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Moyenne de Total profit" fld="5" subtotal="average" baseField="2" baseItem="4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F19EF3-FDFF-433D-AED0-6727B5C3E8C2}" name="Tableau croisé dynamique11" cacheId="4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multipleFieldFilters="0" chartFormat="5">
  <location ref="A60:B71" firstHeaderRow="1" firstDataRow="1" firstDataCol="1"/>
  <pivotFields count="9">
    <pivotField showAll="0"/>
    <pivotField axis="axisRow" showAll="0">
      <items count="11">
        <item x="9"/>
        <item x="4"/>
        <item x="8"/>
        <item x="3"/>
        <item x="7"/>
        <item x="2"/>
        <item x="6"/>
        <item x="1"/>
        <item x="5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1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Moyenne de Total profit" fld="5" subtotal="average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1" xr16:uid="{87F38757-F955-4731-99D3-DB005FDB8E58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F0199E3C-6A68-4899-91C5-05D49A43BCDF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3" xr16:uid="{22827811-00B7-48FF-B474-617ED8EFA24C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4" xr16:uid="{ABE161C7-2CA3-4DFD-8E87-631D96C653E2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5" xr16:uid="{5247CE05-6880-4A30-8241-EA28EA808066}" autoFormatId="16" applyNumberFormats="0" applyBorderFormats="0" applyFontFormats="0" applyPatternFormats="0" applyAlignmentFormats="0" applyWidthHeightFormats="0">
  <queryTableRefresh nextId="10" unboundColumnsRight="1">
    <queryTableFields count="9">
      <queryTableField id="1" name="Nom de la base" tableColumnId="1"/>
      <queryTableField id="2" name="Nombre d'iteration" tableColumnId="2"/>
      <queryTableField id="3" name="Taille liste Tabou" tableColumnId="3"/>
      <queryTableField id="4" name="Poids MAx" tableColumnId="4"/>
      <queryTableField id="5" name="Total weight" tableColumnId="5"/>
      <queryTableField id="6" name="Total profit" tableColumnId="6"/>
      <queryTableField id="7" name="Temps d'execution" tableColumnId="7"/>
      <queryTableField id="8" name="Fichier solution" tableColumnId="8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6BB232-5F55-413A-8CBF-9AC5F11E58F0}" name="results_0_fusionné" displayName="results_0_fusionné" ref="A1:I51" tableType="queryTable" totalsRowShown="0">
  <autoFilter ref="A1:I51" xr:uid="{896BB232-5F55-413A-8CBF-9AC5F11E58F0}"/>
  <tableColumns count="9">
    <tableColumn id="1" xr3:uid="{44363764-C793-4DC6-95C5-7B6498001AAD}" uniqueName="1" name="Nom de la base" queryTableFieldId="1" dataDxfId="19"/>
    <tableColumn id="2" xr3:uid="{61C0F235-412B-45DB-B9EA-34B9C2A5090C}" uniqueName="2" name="Nombre d'iteration" queryTableFieldId="2"/>
    <tableColumn id="3" xr3:uid="{2E16117A-A49C-4132-832C-F2415B1558DF}" uniqueName="3" name="Taille liste Tabou" queryTableFieldId="3"/>
    <tableColumn id="4" xr3:uid="{57F865D4-CB25-41C7-9DA3-14F4432E7B4C}" uniqueName="4" name="Poids MAx" queryTableFieldId="4"/>
    <tableColumn id="5" xr3:uid="{E78757A6-A00D-4389-9A44-02F6974B77E7}" uniqueName="5" name="Total weight" queryTableFieldId="5"/>
    <tableColumn id="6" xr3:uid="{701CBCF4-3D85-4378-A8A1-73F142B65B26}" uniqueName="6" name="Total profit" queryTableFieldId="6"/>
    <tableColumn id="7" xr3:uid="{D7D66B07-A694-4D72-A4B6-3A3FA18E639F}" uniqueName="7" name="Temps d'execution" queryTableFieldId="7" dataDxfId="18"/>
    <tableColumn id="8" xr3:uid="{8FC33DC5-6611-4CC2-9914-A1C6CB3F4259}" uniqueName="8" name="Fichier solution" queryTableFieldId="8" dataDxfId="17"/>
    <tableColumn id="9" xr3:uid="{8CA69F67-FE4B-4ACA-8461-13BC9068A7BE}" uniqueName="9" name="tps_nb" queryTableFieldId="9" dataDxfId="16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CE42CE6-7795-4941-85A0-A0934EBC3B43}" name="results_1_fusionné" displayName="results_1_fusionné" ref="A1:I51" tableType="queryTable" totalsRowShown="0">
  <autoFilter ref="A1:I51" xr:uid="{ACE42CE6-7795-4941-85A0-A0934EBC3B43}"/>
  <tableColumns count="9">
    <tableColumn id="1" xr3:uid="{B3D6AF44-0660-415D-90AF-146D9F95F65C}" uniqueName="1" name="Nom de la base" queryTableFieldId="1" dataDxfId="15"/>
    <tableColumn id="2" xr3:uid="{546AA182-C62A-447A-B1DB-04AB5FB79302}" uniqueName="2" name="Nombre d'iteration" queryTableFieldId="2"/>
    <tableColumn id="3" xr3:uid="{D216ABE4-264E-4918-A728-EC24160EAF1E}" uniqueName="3" name="Taille liste Tabou" queryTableFieldId="3"/>
    <tableColumn id="4" xr3:uid="{0B1613F6-42F7-44F1-AC3B-00CE31F69937}" uniqueName="4" name="Poids MAx" queryTableFieldId="4"/>
    <tableColumn id="5" xr3:uid="{C43EEF7C-FE82-468F-B6B5-0FB25B7A072A}" uniqueName="5" name="Total weight" queryTableFieldId="5"/>
    <tableColumn id="6" xr3:uid="{DEA7B582-ACB7-49C7-9FED-7EAA26763FEC}" uniqueName="6" name="Total profit" queryTableFieldId="6"/>
    <tableColumn id="7" xr3:uid="{3576995B-8B89-448A-9E2B-91932EF54102}" uniqueName="7" name="Temps d'execution" queryTableFieldId="7" dataDxfId="14"/>
    <tableColumn id="8" xr3:uid="{3619E1FC-5F40-42C6-BE0D-C5C1777435EB}" uniqueName="8" name="Fichier solution" queryTableFieldId="8" dataDxfId="13"/>
    <tableColumn id="9" xr3:uid="{2DD00761-DA82-4F64-864F-389C4786DE55}" uniqueName="9" name="tps_nb" queryTableFieldId="9" dataDxfId="12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3B75ED-1615-470C-BCEA-BE293E7AC2A1}" name="results_3_fusionné" displayName="results_3_fusionné" ref="A1:I51" tableType="queryTable" totalsRowShown="0">
  <autoFilter ref="A1:I51" xr:uid="{1D3B75ED-1615-470C-BCEA-BE293E7AC2A1}"/>
  <tableColumns count="9">
    <tableColumn id="1" xr3:uid="{BF8F8D46-D512-4D06-9B4C-3762CCD403AA}" uniqueName="1" name="Nom de la base" queryTableFieldId="1" dataDxfId="11"/>
    <tableColumn id="2" xr3:uid="{5E66513A-D3B4-4ED1-AD35-AAD16E38AB4E}" uniqueName="2" name="Nombre d'iteration" queryTableFieldId="2"/>
    <tableColumn id="3" xr3:uid="{B92B262B-51B9-48D0-81E2-CD227F3F354F}" uniqueName="3" name="Taille liste Tabou" queryTableFieldId="3"/>
    <tableColumn id="4" xr3:uid="{E58DFC62-0FA3-4AB8-B8B0-6290ACD43884}" uniqueName="4" name="Poids MAx" queryTableFieldId="4"/>
    <tableColumn id="5" xr3:uid="{E108F85D-2DC0-4464-9BA1-6D0BC6DD4219}" uniqueName="5" name="Total weight" queryTableFieldId="5"/>
    <tableColumn id="6" xr3:uid="{79EC78A7-135D-4339-A1DE-81DB4610939E}" uniqueName="6" name="Total profit" queryTableFieldId="6"/>
    <tableColumn id="7" xr3:uid="{6EEBD61E-EBF3-4E2D-A477-6C4BB9310B66}" uniqueName="7" name="Temps d'execution" queryTableFieldId="7" dataDxfId="10"/>
    <tableColumn id="8" xr3:uid="{20E2D4C1-24D9-420C-982A-D2CEEE18027D}" uniqueName="8" name="Fichier solution" queryTableFieldId="8" dataDxfId="9"/>
    <tableColumn id="9" xr3:uid="{4536AAD0-B8E8-4B7F-B0EC-5BD4065026C5}" uniqueName="9" name="tps_nb" queryTableFieldId="9" dataDxfId="8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BBE3BC-5A03-4FC6-8CE3-D8EFB26519E9}" name="results_4_fusionné" displayName="results_4_fusionné" ref="A1:I51" tableType="queryTable" totalsRowShown="0">
  <autoFilter ref="A1:I51" xr:uid="{FFBBE3BC-5A03-4FC6-8CE3-D8EFB26519E9}"/>
  <tableColumns count="9">
    <tableColumn id="1" xr3:uid="{50CBCBEE-1CAB-488B-A51B-C836FBB26818}" uniqueName="1" name="Nom de la base" queryTableFieldId="1" dataDxfId="7"/>
    <tableColumn id="2" xr3:uid="{6993995D-9C9B-4E10-82D8-39691BD7C872}" uniqueName="2" name="Nombre d'iteration" queryTableFieldId="2"/>
    <tableColumn id="3" xr3:uid="{D6BA4EC8-1D4A-4B80-A86B-D0A4D6B62BF2}" uniqueName="3" name="Taille liste Tabou" queryTableFieldId="3"/>
    <tableColumn id="4" xr3:uid="{C938B85C-E3FC-4A46-B74D-92C017709927}" uniqueName="4" name="Poids MAx" queryTableFieldId="4"/>
    <tableColumn id="5" xr3:uid="{CE751A4B-A77B-40F1-829D-36BE831D1750}" uniqueName="5" name="Total weight" queryTableFieldId="5"/>
    <tableColumn id="6" xr3:uid="{2044D81C-EE1E-4928-A0A8-A0CA2A5CDB32}" uniqueName="6" name="Total profit" queryTableFieldId="6"/>
    <tableColumn id="7" xr3:uid="{BA304D84-D872-4C92-B6BB-C36AC1BD0981}" uniqueName="7" name="Temps d'execution" queryTableFieldId="7" dataDxfId="6"/>
    <tableColumn id="8" xr3:uid="{7C9368D0-CC1D-47AF-8902-E19BDA5E5F16}" uniqueName="8" name="Fichier solution" queryTableFieldId="8" dataDxfId="5"/>
    <tableColumn id="9" xr3:uid="{78E6A639-53C3-47F8-A07A-82D731CE520E}" uniqueName="9" name="tps_nb" queryTableFieldId="9" dataDxfId="4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C81F8D7-27F5-4E3C-B84A-ABC4F7C1C2CB}" name="results_6_fusionné" displayName="results_6_fusionné" ref="A1:I51" tableType="queryTable" totalsRowShown="0">
  <autoFilter ref="A1:I51" xr:uid="{5C81F8D7-27F5-4E3C-B84A-ABC4F7C1C2CB}">
    <filterColumn colId="5">
      <filters>
        <filter val="1008"/>
      </filters>
    </filterColumn>
  </autoFilter>
  <tableColumns count="9">
    <tableColumn id="1" xr3:uid="{A216AFCF-A872-4971-93D9-12B970020257}" uniqueName="1" name="Nom de la base" queryTableFieldId="1" dataDxfId="3"/>
    <tableColumn id="2" xr3:uid="{A69EC5D9-5A2E-4C11-A612-F7AE40718BDA}" uniqueName="2" name="Nombre d'iteration" queryTableFieldId="2"/>
    <tableColumn id="3" xr3:uid="{C6905E50-8CC3-44D2-A746-194AA30252F6}" uniqueName="3" name="Taille liste Tabou" queryTableFieldId="3"/>
    <tableColumn id="4" xr3:uid="{3BCEB498-A8CE-45D7-A783-280158D57D01}" uniqueName="4" name="Poids MAx" queryTableFieldId="4"/>
    <tableColumn id="5" xr3:uid="{27BE7203-98AD-4C98-B143-6CAE23C026DC}" uniqueName="5" name="Total weight" queryTableFieldId="5"/>
    <tableColumn id="6" xr3:uid="{CB034659-0BF3-40B8-B0A2-498CAF477433}" uniqueName="6" name="Total profit" queryTableFieldId="6"/>
    <tableColumn id="7" xr3:uid="{7150CA3F-2E53-4CD8-8713-DA6786FAE5F7}" uniqueName="7" name="Temps d'execution" queryTableFieldId="7" dataDxfId="2"/>
    <tableColumn id="8" xr3:uid="{9F620017-85AC-46FB-B53A-59E9428097DA}" uniqueName="8" name="Fichier solution" queryTableFieldId="8" dataDxfId="1"/>
    <tableColumn id="9" xr3:uid="{C0D8B92B-C66D-46F9-B3DA-F7888196AC8E}" uniqueName="9" name="tps_nb" queryTableFieldId="9" dataDxfId="0">
      <calculatedColumnFormula>IF(ISNUMBER(G2), G2, SUBSTITUTE(G2, ".", ",")*1)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openxmlformats.org/officeDocument/2006/relationships/table" Target="../tables/table2.xm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BF98F-80D9-4B81-BE38-63F045D25D09}">
  <dimension ref="A1:I83"/>
  <sheetViews>
    <sheetView topLeftCell="A52" workbookViewId="0">
      <selection activeCell="B58" sqref="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8</v>
      </c>
      <c r="B2">
        <v>1000000</v>
      </c>
      <c r="C2">
        <v>1</v>
      </c>
      <c r="D2">
        <v>970</v>
      </c>
      <c r="E2">
        <v>970</v>
      </c>
      <c r="F2">
        <v>970</v>
      </c>
      <c r="G2" t="s">
        <v>9</v>
      </c>
      <c r="H2" t="s">
        <v>10</v>
      </c>
      <c r="I2">
        <f>IF(ISNUMBER(G2), G2, SUBSTITUTE(G2, ".", ",")*1)</f>
        <v>47.827348470687802</v>
      </c>
    </row>
    <row r="3" spans="1:9" x14ac:dyDescent="0.3">
      <c r="A3" t="s">
        <v>8</v>
      </c>
      <c r="B3">
        <v>1000000</v>
      </c>
      <c r="C3">
        <v>10</v>
      </c>
      <c r="D3">
        <v>970</v>
      </c>
      <c r="E3">
        <v>970</v>
      </c>
      <c r="F3">
        <v>970</v>
      </c>
      <c r="G3" t="s">
        <v>11</v>
      </c>
      <c r="H3" t="s">
        <v>12</v>
      </c>
      <c r="I3">
        <f t="shared" ref="I3:I33" si="0">IF(ISNUMBER(G3), G3, SUBSTITUTE(G3, ".", ",")*1)</f>
        <v>0</v>
      </c>
    </row>
    <row r="4" spans="1:9" x14ac:dyDescent="0.3">
      <c r="A4" t="s">
        <v>8</v>
      </c>
      <c r="B4">
        <v>1000000</v>
      </c>
      <c r="C4">
        <v>15</v>
      </c>
      <c r="D4">
        <v>970</v>
      </c>
      <c r="E4">
        <v>970</v>
      </c>
      <c r="F4">
        <v>970</v>
      </c>
      <c r="G4" t="s">
        <v>13</v>
      </c>
      <c r="H4" t="s">
        <v>14</v>
      </c>
      <c r="I4">
        <f t="shared" si="0"/>
        <v>1.162052154541E-3</v>
      </c>
    </row>
    <row r="5" spans="1:9" x14ac:dyDescent="0.3">
      <c r="A5" t="s">
        <v>8</v>
      </c>
      <c r="B5">
        <v>1000000</v>
      </c>
      <c r="C5">
        <v>20</v>
      </c>
      <c r="D5">
        <v>970</v>
      </c>
      <c r="E5">
        <v>970</v>
      </c>
      <c r="F5">
        <v>970</v>
      </c>
      <c r="G5" t="s">
        <v>11</v>
      </c>
      <c r="H5" t="s">
        <v>15</v>
      </c>
      <c r="I5">
        <f t="shared" si="0"/>
        <v>0</v>
      </c>
    </row>
    <row r="6" spans="1:9" x14ac:dyDescent="0.3">
      <c r="A6" t="s">
        <v>8</v>
      </c>
      <c r="B6">
        <v>1000000</v>
      </c>
      <c r="C6">
        <v>5</v>
      </c>
      <c r="D6">
        <v>970</v>
      </c>
      <c r="E6">
        <v>970</v>
      </c>
      <c r="F6">
        <v>970</v>
      </c>
      <c r="G6" t="s">
        <v>16</v>
      </c>
      <c r="H6" t="s">
        <v>17</v>
      </c>
      <c r="I6">
        <f t="shared" si="0"/>
        <v>1.3794898986816001E-3</v>
      </c>
    </row>
    <row r="7" spans="1:9" x14ac:dyDescent="0.3">
      <c r="A7" t="s">
        <v>8</v>
      </c>
      <c r="B7">
        <v>100000</v>
      </c>
      <c r="C7">
        <v>1</v>
      </c>
      <c r="D7">
        <v>970</v>
      </c>
      <c r="E7">
        <v>970</v>
      </c>
      <c r="F7">
        <v>970</v>
      </c>
      <c r="G7" t="s">
        <v>18</v>
      </c>
      <c r="H7" t="s">
        <v>19</v>
      </c>
      <c r="I7">
        <f t="shared" si="0"/>
        <v>4.9117052555084202</v>
      </c>
    </row>
    <row r="8" spans="1:9" x14ac:dyDescent="0.3">
      <c r="A8" t="s">
        <v>8</v>
      </c>
      <c r="B8">
        <v>100000</v>
      </c>
      <c r="C8">
        <v>10</v>
      </c>
      <c r="D8">
        <v>970</v>
      </c>
      <c r="E8">
        <v>970</v>
      </c>
      <c r="F8">
        <v>970</v>
      </c>
      <c r="G8" t="s">
        <v>11</v>
      </c>
      <c r="H8" t="s">
        <v>20</v>
      </c>
      <c r="I8">
        <f t="shared" si="0"/>
        <v>0</v>
      </c>
    </row>
    <row r="9" spans="1:9" x14ac:dyDescent="0.3">
      <c r="A9" t="s">
        <v>8</v>
      </c>
      <c r="B9">
        <v>100000</v>
      </c>
      <c r="C9">
        <v>15</v>
      </c>
      <c r="D9">
        <v>970</v>
      </c>
      <c r="E9">
        <v>970</v>
      </c>
      <c r="F9">
        <v>970</v>
      </c>
      <c r="G9" t="s">
        <v>21</v>
      </c>
      <c r="H9" t="s">
        <v>22</v>
      </c>
      <c r="I9">
        <f t="shared" si="0"/>
        <v>3.6742177009582502</v>
      </c>
    </row>
    <row r="10" spans="1:9" x14ac:dyDescent="0.3">
      <c r="A10" t="s">
        <v>8</v>
      </c>
      <c r="B10">
        <v>100000</v>
      </c>
      <c r="C10">
        <v>20</v>
      </c>
      <c r="D10">
        <v>970</v>
      </c>
      <c r="E10">
        <v>970</v>
      </c>
      <c r="F10">
        <v>970</v>
      </c>
      <c r="G10" t="s">
        <v>23</v>
      </c>
      <c r="H10" t="s">
        <v>24</v>
      </c>
      <c r="I10">
        <f t="shared" si="0"/>
        <v>9.9849700927729995E-4</v>
      </c>
    </row>
    <row r="11" spans="1:9" x14ac:dyDescent="0.3">
      <c r="A11" t="s">
        <v>8</v>
      </c>
      <c r="B11">
        <v>100000</v>
      </c>
      <c r="C11">
        <v>5</v>
      </c>
      <c r="D11">
        <v>970</v>
      </c>
      <c r="E11">
        <v>970</v>
      </c>
      <c r="F11">
        <v>970</v>
      </c>
      <c r="G11" t="s">
        <v>25</v>
      </c>
      <c r="H11" t="s">
        <v>26</v>
      </c>
      <c r="I11">
        <f t="shared" si="0"/>
        <v>4.1733338832855198</v>
      </c>
    </row>
    <row r="12" spans="1:9" x14ac:dyDescent="0.3">
      <c r="A12" t="s">
        <v>8</v>
      </c>
      <c r="B12">
        <v>10000</v>
      </c>
      <c r="C12">
        <v>1</v>
      </c>
      <c r="D12">
        <v>970</v>
      </c>
      <c r="E12">
        <v>951</v>
      </c>
      <c r="F12">
        <v>811</v>
      </c>
      <c r="G12" t="s">
        <v>27</v>
      </c>
      <c r="H12" t="s">
        <v>28</v>
      </c>
      <c r="I12">
        <f t="shared" si="0"/>
        <v>0.68411469459533603</v>
      </c>
    </row>
    <row r="13" spans="1:9" x14ac:dyDescent="0.3">
      <c r="A13" t="s">
        <v>8</v>
      </c>
      <c r="B13">
        <v>10000</v>
      </c>
      <c r="C13">
        <v>10</v>
      </c>
      <c r="D13">
        <v>970</v>
      </c>
      <c r="E13">
        <v>970</v>
      </c>
      <c r="F13">
        <v>970</v>
      </c>
      <c r="G13" t="s">
        <v>29</v>
      </c>
      <c r="H13" t="s">
        <v>30</v>
      </c>
      <c r="I13">
        <f t="shared" si="0"/>
        <v>1.9941329956053998E-3</v>
      </c>
    </row>
    <row r="14" spans="1:9" x14ac:dyDescent="0.3">
      <c r="A14" t="s">
        <v>8</v>
      </c>
      <c r="B14">
        <v>10000</v>
      </c>
      <c r="C14">
        <v>15</v>
      </c>
      <c r="D14">
        <v>970</v>
      </c>
      <c r="E14">
        <v>970</v>
      </c>
      <c r="F14">
        <v>970</v>
      </c>
      <c r="G14" t="s">
        <v>31</v>
      </c>
      <c r="H14" t="s">
        <v>32</v>
      </c>
      <c r="I14">
        <f t="shared" si="0"/>
        <v>3.9925575256346997E-3</v>
      </c>
    </row>
    <row r="15" spans="1:9" x14ac:dyDescent="0.3">
      <c r="A15" t="s">
        <v>8</v>
      </c>
      <c r="B15">
        <v>10000</v>
      </c>
      <c r="C15">
        <v>20</v>
      </c>
      <c r="D15">
        <v>970</v>
      </c>
      <c r="E15">
        <v>970</v>
      </c>
      <c r="F15">
        <v>970</v>
      </c>
      <c r="G15" t="s">
        <v>33</v>
      </c>
      <c r="H15" t="s">
        <v>34</v>
      </c>
      <c r="I15">
        <f t="shared" si="0"/>
        <v>1.9953250885008998E-3</v>
      </c>
    </row>
    <row r="16" spans="1:9" x14ac:dyDescent="0.3">
      <c r="A16" t="s">
        <v>8</v>
      </c>
      <c r="B16">
        <v>10000</v>
      </c>
      <c r="C16">
        <v>5</v>
      </c>
      <c r="D16">
        <v>970</v>
      </c>
      <c r="E16">
        <v>970</v>
      </c>
      <c r="F16">
        <v>970</v>
      </c>
      <c r="G16" t="s">
        <v>35</v>
      </c>
      <c r="H16" t="s">
        <v>36</v>
      </c>
      <c r="I16">
        <f t="shared" si="0"/>
        <v>0.51176428794860795</v>
      </c>
    </row>
    <row r="17" spans="1:9" x14ac:dyDescent="0.3">
      <c r="A17" t="s">
        <v>8</v>
      </c>
      <c r="B17">
        <v>1000</v>
      </c>
      <c r="C17">
        <v>1</v>
      </c>
      <c r="D17">
        <v>970</v>
      </c>
      <c r="E17">
        <v>947</v>
      </c>
      <c r="F17">
        <v>849</v>
      </c>
      <c r="G17" t="s">
        <v>37</v>
      </c>
      <c r="H17" t="s">
        <v>38</v>
      </c>
      <c r="I17">
        <f t="shared" si="0"/>
        <v>6.6370248794555595E-2</v>
      </c>
    </row>
    <row r="18" spans="1:9" x14ac:dyDescent="0.3">
      <c r="A18" t="s">
        <v>8</v>
      </c>
      <c r="B18">
        <v>1000</v>
      </c>
      <c r="C18">
        <v>10</v>
      </c>
      <c r="D18">
        <v>970</v>
      </c>
      <c r="E18">
        <v>970</v>
      </c>
      <c r="F18">
        <v>970</v>
      </c>
      <c r="G18" t="s">
        <v>39</v>
      </c>
      <c r="H18" t="s">
        <v>40</v>
      </c>
      <c r="I18">
        <f t="shared" si="0"/>
        <v>2.5446414947508998E-3</v>
      </c>
    </row>
    <row r="19" spans="1:9" x14ac:dyDescent="0.3">
      <c r="A19" t="s">
        <v>8</v>
      </c>
      <c r="B19">
        <v>1000</v>
      </c>
      <c r="C19">
        <v>15</v>
      </c>
      <c r="D19">
        <v>970</v>
      </c>
      <c r="E19">
        <v>970</v>
      </c>
      <c r="F19">
        <v>970</v>
      </c>
      <c r="G19" t="s">
        <v>41</v>
      </c>
      <c r="H19" t="s">
        <v>42</v>
      </c>
      <c r="I19">
        <f t="shared" si="0"/>
        <v>3.1938552856445E-3</v>
      </c>
    </row>
    <row r="20" spans="1:9" x14ac:dyDescent="0.3">
      <c r="A20" t="s">
        <v>8</v>
      </c>
      <c r="B20">
        <v>1000</v>
      </c>
      <c r="C20">
        <v>20</v>
      </c>
      <c r="D20">
        <v>970</v>
      </c>
      <c r="E20">
        <v>943</v>
      </c>
      <c r="F20">
        <v>887</v>
      </c>
      <c r="G20" t="s">
        <v>43</v>
      </c>
      <c r="H20" t="s">
        <v>44</v>
      </c>
      <c r="I20">
        <f t="shared" si="0"/>
        <v>6.6700935363769503E-2</v>
      </c>
    </row>
    <row r="21" spans="1:9" x14ac:dyDescent="0.3">
      <c r="A21" t="s">
        <v>8</v>
      </c>
      <c r="B21">
        <v>1000</v>
      </c>
      <c r="C21">
        <v>5</v>
      </c>
      <c r="D21">
        <v>970</v>
      </c>
      <c r="E21">
        <v>970</v>
      </c>
      <c r="F21">
        <v>970</v>
      </c>
      <c r="G21" t="s">
        <v>45</v>
      </c>
      <c r="H21" t="s">
        <v>46</v>
      </c>
      <c r="I21">
        <f t="shared" si="0"/>
        <v>8.2931041717529297E-2</v>
      </c>
    </row>
    <row r="22" spans="1:9" x14ac:dyDescent="0.3">
      <c r="A22" t="s">
        <v>8</v>
      </c>
      <c r="B22">
        <v>100</v>
      </c>
      <c r="C22">
        <v>1</v>
      </c>
      <c r="D22">
        <v>970</v>
      </c>
      <c r="E22">
        <v>970</v>
      </c>
      <c r="F22">
        <v>970</v>
      </c>
      <c r="G22" t="s">
        <v>47</v>
      </c>
      <c r="H22" t="s">
        <v>48</v>
      </c>
      <c r="I22">
        <f t="shared" si="0"/>
        <v>5.9912204742430999E-3</v>
      </c>
    </row>
    <row r="23" spans="1:9" x14ac:dyDescent="0.3">
      <c r="A23" t="s">
        <v>8</v>
      </c>
      <c r="B23">
        <v>100</v>
      </c>
      <c r="C23">
        <v>10</v>
      </c>
      <c r="D23">
        <v>970</v>
      </c>
      <c r="E23">
        <v>970</v>
      </c>
      <c r="F23">
        <v>970</v>
      </c>
      <c r="G23" t="s">
        <v>11</v>
      </c>
      <c r="H23" t="s">
        <v>49</v>
      </c>
      <c r="I23">
        <f t="shared" si="0"/>
        <v>0</v>
      </c>
    </row>
    <row r="24" spans="1:9" x14ac:dyDescent="0.3">
      <c r="A24" t="s">
        <v>8</v>
      </c>
      <c r="B24">
        <v>100</v>
      </c>
      <c r="C24">
        <v>15</v>
      </c>
      <c r="D24">
        <v>970</v>
      </c>
      <c r="E24">
        <v>970</v>
      </c>
      <c r="F24">
        <v>970</v>
      </c>
      <c r="G24" t="s">
        <v>50</v>
      </c>
      <c r="H24" t="s">
        <v>51</v>
      </c>
      <c r="I24">
        <f t="shared" si="0"/>
        <v>1.2164115905761001E-3</v>
      </c>
    </row>
    <row r="25" spans="1:9" x14ac:dyDescent="0.3">
      <c r="A25" t="s">
        <v>8</v>
      </c>
      <c r="B25">
        <v>100</v>
      </c>
      <c r="C25">
        <v>20</v>
      </c>
      <c r="D25">
        <v>970</v>
      </c>
      <c r="E25">
        <v>970</v>
      </c>
      <c r="F25">
        <v>970</v>
      </c>
      <c r="G25" t="s">
        <v>52</v>
      </c>
      <c r="H25" t="s">
        <v>53</v>
      </c>
      <c r="I25">
        <f t="shared" si="0"/>
        <v>9.9301338195800001E-4</v>
      </c>
    </row>
    <row r="26" spans="1:9" x14ac:dyDescent="0.3">
      <c r="A26" t="s">
        <v>8</v>
      </c>
      <c r="B26">
        <v>100</v>
      </c>
      <c r="C26">
        <v>5</v>
      </c>
      <c r="D26">
        <v>970</v>
      </c>
      <c r="E26">
        <v>970</v>
      </c>
      <c r="F26">
        <v>970</v>
      </c>
      <c r="G26" t="s">
        <v>54</v>
      </c>
      <c r="H26" t="s">
        <v>55</v>
      </c>
      <c r="I26">
        <f t="shared" si="0"/>
        <v>6.0231685638426997E-3</v>
      </c>
    </row>
    <row r="27" spans="1:9" x14ac:dyDescent="0.3">
      <c r="A27" t="s">
        <v>8</v>
      </c>
      <c r="B27">
        <v>500000</v>
      </c>
      <c r="C27">
        <v>1</v>
      </c>
      <c r="D27">
        <v>970</v>
      </c>
      <c r="E27">
        <v>970</v>
      </c>
      <c r="F27">
        <v>970</v>
      </c>
      <c r="G27" t="s">
        <v>56</v>
      </c>
      <c r="H27" t="s">
        <v>57</v>
      </c>
      <c r="I27">
        <f t="shared" si="0"/>
        <v>25.204922676086401</v>
      </c>
    </row>
    <row r="28" spans="1:9" x14ac:dyDescent="0.3">
      <c r="A28" t="s">
        <v>8</v>
      </c>
      <c r="B28">
        <v>500000</v>
      </c>
      <c r="C28">
        <v>10</v>
      </c>
      <c r="D28">
        <v>970</v>
      </c>
      <c r="E28">
        <v>970</v>
      </c>
      <c r="F28">
        <v>970</v>
      </c>
      <c r="G28" t="s">
        <v>58</v>
      </c>
      <c r="H28" t="s">
        <v>59</v>
      </c>
      <c r="I28">
        <f t="shared" si="0"/>
        <v>1.0476112365721999E-3</v>
      </c>
    </row>
    <row r="29" spans="1:9" x14ac:dyDescent="0.3">
      <c r="A29" t="s">
        <v>8</v>
      </c>
      <c r="B29">
        <v>500000</v>
      </c>
      <c r="C29">
        <v>15</v>
      </c>
      <c r="D29">
        <v>970</v>
      </c>
      <c r="E29">
        <v>970</v>
      </c>
      <c r="F29">
        <v>970</v>
      </c>
      <c r="G29" t="s">
        <v>60</v>
      </c>
      <c r="H29" t="s">
        <v>61</v>
      </c>
      <c r="I29">
        <f t="shared" si="0"/>
        <v>3.7882328033447001E-3</v>
      </c>
    </row>
    <row r="30" spans="1:9" x14ac:dyDescent="0.3">
      <c r="A30" t="s">
        <v>8</v>
      </c>
      <c r="B30">
        <v>500000</v>
      </c>
      <c r="C30">
        <v>20</v>
      </c>
      <c r="D30">
        <v>970</v>
      </c>
      <c r="E30">
        <v>970</v>
      </c>
      <c r="F30">
        <v>970</v>
      </c>
      <c r="G30" t="s">
        <v>62</v>
      </c>
      <c r="H30" t="s">
        <v>63</v>
      </c>
      <c r="I30">
        <f t="shared" si="0"/>
        <v>2.1235942840575998E-3</v>
      </c>
    </row>
    <row r="31" spans="1:9" x14ac:dyDescent="0.3">
      <c r="A31" t="s">
        <v>8</v>
      </c>
      <c r="B31">
        <v>500000</v>
      </c>
      <c r="C31">
        <v>5</v>
      </c>
      <c r="D31">
        <v>970</v>
      </c>
      <c r="E31">
        <v>970</v>
      </c>
      <c r="F31">
        <v>970</v>
      </c>
      <c r="G31" t="s">
        <v>64</v>
      </c>
      <c r="H31" t="s">
        <v>65</v>
      </c>
      <c r="I31">
        <f t="shared" si="0"/>
        <v>1.9843578338622999E-3</v>
      </c>
    </row>
    <row r="32" spans="1:9" x14ac:dyDescent="0.3">
      <c r="A32" t="s">
        <v>8</v>
      </c>
      <c r="B32">
        <v>50000</v>
      </c>
      <c r="C32">
        <v>1</v>
      </c>
      <c r="D32">
        <v>970</v>
      </c>
      <c r="E32">
        <v>970</v>
      </c>
      <c r="F32">
        <v>970</v>
      </c>
      <c r="G32" t="s">
        <v>66</v>
      </c>
      <c r="H32" t="s">
        <v>67</v>
      </c>
      <c r="I32">
        <f t="shared" si="0"/>
        <v>3.9399929046630802</v>
      </c>
    </row>
    <row r="33" spans="1:9" x14ac:dyDescent="0.3">
      <c r="A33" t="s">
        <v>8</v>
      </c>
      <c r="B33">
        <v>50000</v>
      </c>
      <c r="C33">
        <v>10</v>
      </c>
      <c r="D33">
        <v>970</v>
      </c>
      <c r="E33">
        <v>970</v>
      </c>
      <c r="F33">
        <v>970</v>
      </c>
      <c r="G33" t="s">
        <v>68</v>
      </c>
      <c r="H33" t="s">
        <v>69</v>
      </c>
      <c r="I33">
        <f t="shared" si="0"/>
        <v>1.5130043029785E-3</v>
      </c>
    </row>
    <row r="34" spans="1:9" x14ac:dyDescent="0.3">
      <c r="A34" t="s">
        <v>8</v>
      </c>
      <c r="B34">
        <v>50000</v>
      </c>
      <c r="C34">
        <v>15</v>
      </c>
      <c r="D34">
        <v>970</v>
      </c>
      <c r="E34">
        <v>970</v>
      </c>
      <c r="F34">
        <v>970</v>
      </c>
      <c r="G34" t="s">
        <v>70</v>
      </c>
      <c r="H34" t="s">
        <v>71</v>
      </c>
      <c r="I34">
        <f t="shared" ref="I34:I51" si="1">IF(ISNUMBER(G34), G34, SUBSTITUTE(G34, ".", ",")*1)</f>
        <v>1.1842250823974E-3</v>
      </c>
    </row>
    <row r="35" spans="1:9" x14ac:dyDescent="0.3">
      <c r="A35" t="s">
        <v>8</v>
      </c>
      <c r="B35">
        <v>50000</v>
      </c>
      <c r="C35">
        <v>20</v>
      </c>
      <c r="D35">
        <v>970</v>
      </c>
      <c r="E35">
        <v>970</v>
      </c>
      <c r="F35">
        <v>970</v>
      </c>
      <c r="G35" t="s">
        <v>72</v>
      </c>
      <c r="H35" t="s">
        <v>73</v>
      </c>
      <c r="I35">
        <f t="shared" si="1"/>
        <v>1.0817050933836999E-3</v>
      </c>
    </row>
    <row r="36" spans="1:9" x14ac:dyDescent="0.3">
      <c r="A36" t="s">
        <v>8</v>
      </c>
      <c r="B36">
        <v>50000</v>
      </c>
      <c r="C36">
        <v>5</v>
      </c>
      <c r="D36">
        <v>970</v>
      </c>
      <c r="E36">
        <v>970</v>
      </c>
      <c r="F36">
        <v>970</v>
      </c>
      <c r="G36" t="s">
        <v>74</v>
      </c>
      <c r="H36" t="s">
        <v>75</v>
      </c>
      <c r="I36">
        <f t="shared" si="1"/>
        <v>2.3431270122528001</v>
      </c>
    </row>
    <row r="37" spans="1:9" x14ac:dyDescent="0.3">
      <c r="A37" t="s">
        <v>8</v>
      </c>
      <c r="B37">
        <v>5000</v>
      </c>
      <c r="C37">
        <v>1</v>
      </c>
      <c r="D37">
        <v>970</v>
      </c>
      <c r="E37">
        <v>955</v>
      </c>
      <c r="F37">
        <v>773</v>
      </c>
      <c r="G37" t="s">
        <v>76</v>
      </c>
      <c r="H37" t="s">
        <v>77</v>
      </c>
      <c r="I37">
        <f t="shared" si="1"/>
        <v>0.28904294967651301</v>
      </c>
    </row>
    <row r="38" spans="1:9" x14ac:dyDescent="0.3">
      <c r="A38" t="s">
        <v>8</v>
      </c>
      <c r="B38">
        <v>5000</v>
      </c>
      <c r="C38">
        <v>10</v>
      </c>
      <c r="D38">
        <v>970</v>
      </c>
      <c r="E38">
        <v>970</v>
      </c>
      <c r="F38">
        <v>970</v>
      </c>
      <c r="G38" t="s">
        <v>11</v>
      </c>
      <c r="H38" t="s">
        <v>78</v>
      </c>
      <c r="I38">
        <f t="shared" si="1"/>
        <v>0</v>
      </c>
    </row>
    <row r="39" spans="1:9" x14ac:dyDescent="0.3">
      <c r="A39" t="s">
        <v>8</v>
      </c>
      <c r="B39">
        <v>5000</v>
      </c>
      <c r="C39">
        <v>15</v>
      </c>
      <c r="D39">
        <v>970</v>
      </c>
      <c r="E39">
        <v>970</v>
      </c>
      <c r="F39">
        <v>970</v>
      </c>
      <c r="G39" t="s">
        <v>79</v>
      </c>
      <c r="H39" t="s">
        <v>80</v>
      </c>
      <c r="I39">
        <f t="shared" si="1"/>
        <v>1.0185241699218E-3</v>
      </c>
    </row>
    <row r="40" spans="1:9" x14ac:dyDescent="0.3">
      <c r="A40" t="s">
        <v>8</v>
      </c>
      <c r="B40">
        <v>5000</v>
      </c>
      <c r="C40">
        <v>20</v>
      </c>
      <c r="D40">
        <v>970</v>
      </c>
      <c r="E40">
        <v>970</v>
      </c>
      <c r="F40">
        <v>970</v>
      </c>
      <c r="G40" t="s">
        <v>81</v>
      </c>
      <c r="H40" t="s">
        <v>82</v>
      </c>
      <c r="I40">
        <f t="shared" si="1"/>
        <v>2.4068355560302001E-3</v>
      </c>
    </row>
    <row r="41" spans="1:9" x14ac:dyDescent="0.3">
      <c r="A41" t="s">
        <v>8</v>
      </c>
      <c r="B41">
        <v>5000</v>
      </c>
      <c r="C41">
        <v>5</v>
      </c>
      <c r="D41">
        <v>970</v>
      </c>
      <c r="E41">
        <v>970</v>
      </c>
      <c r="F41">
        <v>970</v>
      </c>
      <c r="G41" t="s">
        <v>83</v>
      </c>
      <c r="H41" t="s">
        <v>84</v>
      </c>
      <c r="I41">
        <f t="shared" si="1"/>
        <v>1.0056495666503E-3</v>
      </c>
    </row>
    <row r="42" spans="1:9" x14ac:dyDescent="0.3">
      <c r="A42" t="s">
        <v>8</v>
      </c>
      <c r="B42">
        <v>500</v>
      </c>
      <c r="C42">
        <v>1</v>
      </c>
      <c r="D42">
        <v>970</v>
      </c>
      <c r="E42">
        <v>955</v>
      </c>
      <c r="F42">
        <v>773</v>
      </c>
      <c r="G42" t="s">
        <v>85</v>
      </c>
      <c r="H42" t="s">
        <v>86</v>
      </c>
      <c r="I42">
        <f t="shared" si="1"/>
        <v>2.2163867950439401E-2</v>
      </c>
    </row>
    <row r="43" spans="1:9" x14ac:dyDescent="0.3">
      <c r="A43" t="s">
        <v>8</v>
      </c>
      <c r="B43">
        <v>500</v>
      </c>
      <c r="C43">
        <v>10</v>
      </c>
      <c r="D43">
        <v>970</v>
      </c>
      <c r="E43">
        <v>970</v>
      </c>
      <c r="F43">
        <v>970</v>
      </c>
      <c r="G43" t="s">
        <v>87</v>
      </c>
      <c r="H43" t="s">
        <v>88</v>
      </c>
      <c r="I43">
        <f t="shared" si="1"/>
        <v>3.3472537994384703E-2</v>
      </c>
    </row>
    <row r="44" spans="1:9" x14ac:dyDescent="0.3">
      <c r="A44" t="s">
        <v>8</v>
      </c>
      <c r="B44">
        <v>500</v>
      </c>
      <c r="C44">
        <v>15</v>
      </c>
      <c r="D44">
        <v>970</v>
      </c>
      <c r="E44">
        <v>970</v>
      </c>
      <c r="F44">
        <v>970</v>
      </c>
      <c r="G44" t="s">
        <v>89</v>
      </c>
      <c r="H44" t="s">
        <v>90</v>
      </c>
      <c r="I44">
        <f t="shared" si="1"/>
        <v>1.0435581207275E-3</v>
      </c>
    </row>
    <row r="45" spans="1:9" x14ac:dyDescent="0.3">
      <c r="A45" t="s">
        <v>8</v>
      </c>
      <c r="B45">
        <v>500</v>
      </c>
      <c r="C45">
        <v>20</v>
      </c>
      <c r="D45">
        <v>970</v>
      </c>
      <c r="E45">
        <v>970</v>
      </c>
      <c r="F45">
        <v>970</v>
      </c>
      <c r="G45" t="s">
        <v>91</v>
      </c>
      <c r="H45" t="s">
        <v>92</v>
      </c>
      <c r="I45">
        <f t="shared" si="1"/>
        <v>4.2078495025634002E-3</v>
      </c>
    </row>
    <row r="46" spans="1:9" x14ac:dyDescent="0.3">
      <c r="A46" t="s">
        <v>8</v>
      </c>
      <c r="B46">
        <v>500</v>
      </c>
      <c r="C46">
        <v>5</v>
      </c>
      <c r="D46">
        <v>970</v>
      </c>
      <c r="E46">
        <v>970</v>
      </c>
      <c r="F46">
        <v>970</v>
      </c>
      <c r="G46" t="s">
        <v>11</v>
      </c>
      <c r="H46" t="s">
        <v>93</v>
      </c>
      <c r="I46">
        <f t="shared" si="1"/>
        <v>0</v>
      </c>
    </row>
    <row r="47" spans="1:9" x14ac:dyDescent="0.3">
      <c r="A47" t="s">
        <v>8</v>
      </c>
      <c r="B47">
        <v>50</v>
      </c>
      <c r="C47">
        <v>1</v>
      </c>
      <c r="D47">
        <v>970</v>
      </c>
      <c r="E47">
        <v>951</v>
      </c>
      <c r="F47">
        <v>811</v>
      </c>
      <c r="G47" t="s">
        <v>94</v>
      </c>
      <c r="H47" t="s">
        <v>95</v>
      </c>
      <c r="I47">
        <f t="shared" si="1"/>
        <v>2.3968696594238201E-2</v>
      </c>
    </row>
    <row r="48" spans="1:9" x14ac:dyDescent="0.3">
      <c r="A48" t="s">
        <v>8</v>
      </c>
      <c r="B48">
        <v>50</v>
      </c>
      <c r="C48">
        <v>10</v>
      </c>
      <c r="D48">
        <v>970</v>
      </c>
      <c r="E48">
        <v>970</v>
      </c>
      <c r="F48">
        <v>970</v>
      </c>
      <c r="G48" t="s">
        <v>11</v>
      </c>
      <c r="H48" t="s">
        <v>96</v>
      </c>
      <c r="I48">
        <f t="shared" si="1"/>
        <v>0</v>
      </c>
    </row>
    <row r="49" spans="1:9" x14ac:dyDescent="0.3">
      <c r="A49" t="s">
        <v>8</v>
      </c>
      <c r="B49">
        <v>50</v>
      </c>
      <c r="C49">
        <v>15</v>
      </c>
      <c r="D49">
        <v>970</v>
      </c>
      <c r="E49">
        <v>970</v>
      </c>
      <c r="F49">
        <v>970</v>
      </c>
      <c r="G49" t="s">
        <v>97</v>
      </c>
      <c r="H49" t="s">
        <v>98</v>
      </c>
      <c r="I49">
        <f t="shared" si="1"/>
        <v>1.0437965393066001E-3</v>
      </c>
    </row>
    <row r="50" spans="1:9" x14ac:dyDescent="0.3">
      <c r="A50" t="s">
        <v>8</v>
      </c>
      <c r="B50">
        <v>50</v>
      </c>
      <c r="C50">
        <v>20</v>
      </c>
      <c r="D50">
        <v>970</v>
      </c>
      <c r="E50">
        <v>970</v>
      </c>
      <c r="F50">
        <v>970</v>
      </c>
      <c r="G50" t="s">
        <v>11</v>
      </c>
      <c r="H50" t="s">
        <v>99</v>
      </c>
      <c r="I50">
        <f t="shared" si="1"/>
        <v>0</v>
      </c>
    </row>
    <row r="51" spans="1:9" x14ac:dyDescent="0.3">
      <c r="A51" t="s">
        <v>8</v>
      </c>
      <c r="B51">
        <v>50</v>
      </c>
      <c r="C51">
        <v>5</v>
      </c>
      <c r="D51">
        <v>970</v>
      </c>
      <c r="E51">
        <v>970</v>
      </c>
      <c r="F51">
        <v>970</v>
      </c>
      <c r="G51" t="s">
        <v>100</v>
      </c>
      <c r="H51" t="s">
        <v>101</v>
      </c>
      <c r="I51">
        <f t="shared" si="1"/>
        <v>1.0702610015869E-3</v>
      </c>
    </row>
    <row r="57" spans="1:9" x14ac:dyDescent="0.3">
      <c r="A57" t="s">
        <v>103</v>
      </c>
      <c r="B57">
        <f>AVERAGE(results_0_fusionné[tps_nb])</f>
        <v>1.8782236146926861</v>
      </c>
    </row>
    <row r="58" spans="1:9" x14ac:dyDescent="0.3">
      <c r="A58" t="s">
        <v>104</v>
      </c>
      <c r="B58">
        <f>MAX(results_0_fusionné[Total profit])</f>
        <v>970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938.2</v>
      </c>
    </row>
    <row r="62" spans="1:9" x14ac:dyDescent="0.3">
      <c r="A62" s="2">
        <v>100</v>
      </c>
      <c r="B62">
        <v>970</v>
      </c>
    </row>
    <row r="63" spans="1:9" x14ac:dyDescent="0.3">
      <c r="A63" s="2">
        <v>500</v>
      </c>
      <c r="B63">
        <v>930.6</v>
      </c>
    </row>
    <row r="64" spans="1:9" x14ac:dyDescent="0.3">
      <c r="A64" s="2">
        <v>1000</v>
      </c>
      <c r="B64">
        <v>929.2</v>
      </c>
    </row>
    <row r="65" spans="1:2" x14ac:dyDescent="0.3">
      <c r="A65" s="2">
        <v>5000</v>
      </c>
      <c r="B65">
        <v>930.6</v>
      </c>
    </row>
    <row r="66" spans="1:2" x14ac:dyDescent="0.3">
      <c r="A66" s="2">
        <v>10000</v>
      </c>
      <c r="B66">
        <v>938.2</v>
      </c>
    </row>
    <row r="67" spans="1:2" x14ac:dyDescent="0.3">
      <c r="A67" s="2">
        <v>50000</v>
      </c>
      <c r="B67">
        <v>970</v>
      </c>
    </row>
    <row r="68" spans="1:2" x14ac:dyDescent="0.3">
      <c r="A68" s="2">
        <v>100000</v>
      </c>
      <c r="B68">
        <v>970</v>
      </c>
    </row>
    <row r="69" spans="1:2" x14ac:dyDescent="0.3">
      <c r="A69" s="2">
        <v>500000</v>
      </c>
      <c r="B69">
        <v>970</v>
      </c>
    </row>
    <row r="70" spans="1:2" x14ac:dyDescent="0.3">
      <c r="A70" s="2">
        <v>1000000</v>
      </c>
      <c r="B70">
        <v>970</v>
      </c>
    </row>
    <row r="71" spans="1:2" x14ac:dyDescent="0.3">
      <c r="A71" s="2" t="s">
        <v>106</v>
      </c>
      <c r="B71">
        <v>951.68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886.7</v>
      </c>
    </row>
    <row r="79" spans="1:2" x14ac:dyDescent="0.3">
      <c r="A79" s="2">
        <v>5</v>
      </c>
      <c r="B79">
        <v>970</v>
      </c>
    </row>
    <row r="80" spans="1:2" x14ac:dyDescent="0.3">
      <c r="A80" s="2">
        <v>10</v>
      </c>
      <c r="B80">
        <v>970</v>
      </c>
    </row>
    <row r="81" spans="1:2" x14ac:dyDescent="0.3">
      <c r="A81" s="2">
        <v>15</v>
      </c>
      <c r="B81">
        <v>970</v>
      </c>
    </row>
    <row r="82" spans="1:2" x14ac:dyDescent="0.3">
      <c r="A82" s="2">
        <v>20</v>
      </c>
      <c r="B82">
        <v>961.7</v>
      </c>
    </row>
    <row r="83" spans="1:2" x14ac:dyDescent="0.3">
      <c r="A83" s="2" t="s">
        <v>106</v>
      </c>
      <c r="B83">
        <v>951.68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C41A50-93B5-4B0B-A72B-68BD5AB02BDE}">
  <dimension ref="A1:I83"/>
  <sheetViews>
    <sheetView topLeftCell="A46" workbookViewId="0">
      <selection activeCell="B58" sqref="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109</v>
      </c>
      <c r="B2">
        <v>1000000</v>
      </c>
      <c r="C2">
        <v>1</v>
      </c>
      <c r="D2">
        <v>4556</v>
      </c>
      <c r="E2">
        <v>4501</v>
      </c>
      <c r="F2">
        <v>4431</v>
      </c>
      <c r="G2" t="s">
        <v>110</v>
      </c>
      <c r="H2" t="s">
        <v>111</v>
      </c>
      <c r="I2">
        <f>IF(ISNUMBER(G2), G2, SUBSTITUTE(G2, ".", ",")*1)</f>
        <v>271.08083319664001</v>
      </c>
    </row>
    <row r="3" spans="1:9" x14ac:dyDescent="0.3">
      <c r="A3" t="s">
        <v>109</v>
      </c>
      <c r="B3">
        <v>1000000</v>
      </c>
      <c r="C3">
        <v>10</v>
      </c>
      <c r="D3">
        <v>4556</v>
      </c>
      <c r="E3">
        <v>4528</v>
      </c>
      <c r="F3">
        <v>4514</v>
      </c>
      <c r="G3" t="s">
        <v>112</v>
      </c>
      <c r="H3" t="s">
        <v>113</v>
      </c>
      <c r="I3">
        <f t="shared" ref="I3:I33" si="0">IF(ISNUMBER(G3), G3, SUBSTITUTE(G3, ".", ",")*1)</f>
        <v>251.131772756576</v>
      </c>
    </row>
    <row r="4" spans="1:9" x14ac:dyDescent="0.3">
      <c r="A4" t="s">
        <v>109</v>
      </c>
      <c r="B4">
        <v>1000000</v>
      </c>
      <c r="C4">
        <v>15</v>
      </c>
      <c r="D4">
        <v>4556</v>
      </c>
      <c r="E4">
        <v>4532</v>
      </c>
      <c r="F4">
        <v>4476</v>
      </c>
      <c r="G4" t="s">
        <v>114</v>
      </c>
      <c r="H4" t="s">
        <v>115</v>
      </c>
      <c r="I4">
        <f t="shared" si="0"/>
        <v>200.94095134735099</v>
      </c>
    </row>
    <row r="5" spans="1:9" x14ac:dyDescent="0.3">
      <c r="A5" t="s">
        <v>109</v>
      </c>
      <c r="B5">
        <v>1000000</v>
      </c>
      <c r="C5">
        <v>20</v>
      </c>
      <c r="D5">
        <v>4556</v>
      </c>
      <c r="E5">
        <v>4533</v>
      </c>
      <c r="F5">
        <v>4127</v>
      </c>
      <c r="G5" t="s">
        <v>116</v>
      </c>
      <c r="H5" t="s">
        <v>117</v>
      </c>
      <c r="I5">
        <f t="shared" si="0"/>
        <v>267.18316364288302</v>
      </c>
    </row>
    <row r="6" spans="1:9" x14ac:dyDescent="0.3">
      <c r="A6" t="s">
        <v>109</v>
      </c>
      <c r="B6">
        <v>1000000</v>
      </c>
      <c r="C6">
        <v>5</v>
      </c>
      <c r="D6">
        <v>4556</v>
      </c>
      <c r="E6">
        <v>4540</v>
      </c>
      <c r="F6">
        <v>4400</v>
      </c>
      <c r="G6" t="s">
        <v>118</v>
      </c>
      <c r="H6" t="s">
        <v>119</v>
      </c>
      <c r="I6">
        <f t="shared" si="0"/>
        <v>332.25887036323502</v>
      </c>
    </row>
    <row r="7" spans="1:9" x14ac:dyDescent="0.3">
      <c r="A7" t="s">
        <v>109</v>
      </c>
      <c r="B7">
        <v>100000</v>
      </c>
      <c r="C7">
        <v>1</v>
      </c>
      <c r="D7">
        <v>4556</v>
      </c>
      <c r="E7">
        <v>4521</v>
      </c>
      <c r="F7">
        <v>4241</v>
      </c>
      <c r="G7" t="s">
        <v>120</v>
      </c>
      <c r="H7" t="s">
        <v>121</v>
      </c>
      <c r="I7">
        <f t="shared" si="0"/>
        <v>26.6917674541473</v>
      </c>
    </row>
    <row r="8" spans="1:9" x14ac:dyDescent="0.3">
      <c r="A8" t="s">
        <v>109</v>
      </c>
      <c r="B8">
        <v>100000</v>
      </c>
      <c r="C8">
        <v>10</v>
      </c>
      <c r="D8">
        <v>4556</v>
      </c>
      <c r="E8">
        <v>4544</v>
      </c>
      <c r="F8">
        <v>4362</v>
      </c>
      <c r="G8" t="s">
        <v>122</v>
      </c>
      <c r="H8" t="s">
        <v>123</v>
      </c>
      <c r="I8">
        <f t="shared" si="0"/>
        <v>24.0156602859497</v>
      </c>
    </row>
    <row r="9" spans="1:9" x14ac:dyDescent="0.3">
      <c r="A9" t="s">
        <v>109</v>
      </c>
      <c r="B9">
        <v>100000</v>
      </c>
      <c r="C9">
        <v>15</v>
      </c>
      <c r="D9">
        <v>4556</v>
      </c>
      <c r="E9">
        <v>4517</v>
      </c>
      <c r="F9">
        <v>4279</v>
      </c>
      <c r="G9" t="s">
        <v>124</v>
      </c>
      <c r="H9" t="s">
        <v>125</v>
      </c>
      <c r="I9">
        <f t="shared" si="0"/>
        <v>27.432199716567901</v>
      </c>
    </row>
    <row r="10" spans="1:9" x14ac:dyDescent="0.3">
      <c r="A10" t="s">
        <v>109</v>
      </c>
      <c r="B10">
        <v>100000</v>
      </c>
      <c r="C10">
        <v>20</v>
      </c>
      <c r="D10">
        <v>4556</v>
      </c>
      <c r="E10">
        <v>4549</v>
      </c>
      <c r="F10">
        <v>3975</v>
      </c>
      <c r="G10" t="s">
        <v>126</v>
      </c>
      <c r="H10" t="s">
        <v>127</v>
      </c>
      <c r="I10">
        <f t="shared" si="0"/>
        <v>29.744971036911</v>
      </c>
    </row>
    <row r="11" spans="1:9" x14ac:dyDescent="0.3">
      <c r="A11" t="s">
        <v>109</v>
      </c>
      <c r="B11">
        <v>100000</v>
      </c>
      <c r="C11">
        <v>5</v>
      </c>
      <c r="D11">
        <v>4556</v>
      </c>
      <c r="E11">
        <v>4532</v>
      </c>
      <c r="F11">
        <v>4476</v>
      </c>
      <c r="G11" t="s">
        <v>128</v>
      </c>
      <c r="H11" t="s">
        <v>129</v>
      </c>
      <c r="I11">
        <f t="shared" si="0"/>
        <v>24.386036157608</v>
      </c>
    </row>
    <row r="12" spans="1:9" x14ac:dyDescent="0.3">
      <c r="A12" t="s">
        <v>109</v>
      </c>
      <c r="B12">
        <v>10000</v>
      </c>
      <c r="C12">
        <v>1</v>
      </c>
      <c r="D12">
        <v>4556</v>
      </c>
      <c r="E12">
        <v>4528</v>
      </c>
      <c r="F12">
        <v>4514</v>
      </c>
      <c r="G12" t="s">
        <v>130</v>
      </c>
      <c r="H12" t="s">
        <v>131</v>
      </c>
      <c r="I12">
        <f t="shared" si="0"/>
        <v>2.2105422019958398</v>
      </c>
    </row>
    <row r="13" spans="1:9" x14ac:dyDescent="0.3">
      <c r="A13" t="s">
        <v>109</v>
      </c>
      <c r="B13">
        <v>10000</v>
      </c>
      <c r="C13">
        <v>10</v>
      </c>
      <c r="D13">
        <v>4556</v>
      </c>
      <c r="E13">
        <v>4552</v>
      </c>
      <c r="F13">
        <v>4286</v>
      </c>
      <c r="G13" t="s">
        <v>132</v>
      </c>
      <c r="H13" t="s">
        <v>133</v>
      </c>
      <c r="I13">
        <f t="shared" si="0"/>
        <v>2.2732024192810001</v>
      </c>
    </row>
    <row r="14" spans="1:9" x14ac:dyDescent="0.3">
      <c r="A14" t="s">
        <v>109</v>
      </c>
      <c r="B14">
        <v>10000</v>
      </c>
      <c r="C14">
        <v>15</v>
      </c>
      <c r="D14">
        <v>4556</v>
      </c>
      <c r="E14">
        <v>4497</v>
      </c>
      <c r="F14">
        <v>4469</v>
      </c>
      <c r="G14" t="s">
        <v>134</v>
      </c>
      <c r="H14" t="s">
        <v>135</v>
      </c>
      <c r="I14">
        <f t="shared" si="0"/>
        <v>2.7352104187011701</v>
      </c>
    </row>
    <row r="15" spans="1:9" x14ac:dyDescent="0.3">
      <c r="A15" t="s">
        <v>109</v>
      </c>
      <c r="B15">
        <v>10000</v>
      </c>
      <c r="C15">
        <v>20</v>
      </c>
      <c r="D15">
        <v>4556</v>
      </c>
      <c r="E15">
        <v>4545</v>
      </c>
      <c r="F15">
        <v>4013</v>
      </c>
      <c r="G15" t="s">
        <v>136</v>
      </c>
      <c r="H15" t="s">
        <v>137</v>
      </c>
      <c r="I15">
        <f t="shared" si="0"/>
        <v>2.0792889595031698</v>
      </c>
    </row>
    <row r="16" spans="1:9" x14ac:dyDescent="0.3">
      <c r="A16" t="s">
        <v>109</v>
      </c>
      <c r="B16">
        <v>10000</v>
      </c>
      <c r="C16">
        <v>5</v>
      </c>
      <c r="D16">
        <v>4556</v>
      </c>
      <c r="E16">
        <v>4537</v>
      </c>
      <c r="F16">
        <v>4089</v>
      </c>
      <c r="G16" t="s">
        <v>138</v>
      </c>
      <c r="H16" t="s">
        <v>139</v>
      </c>
      <c r="I16">
        <f t="shared" si="0"/>
        <v>1.95346999168396</v>
      </c>
    </row>
    <row r="17" spans="1:9" x14ac:dyDescent="0.3">
      <c r="A17" t="s">
        <v>109</v>
      </c>
      <c r="B17">
        <v>1000</v>
      </c>
      <c r="C17">
        <v>1</v>
      </c>
      <c r="D17">
        <v>4556</v>
      </c>
      <c r="E17">
        <v>4532</v>
      </c>
      <c r="F17">
        <v>4476</v>
      </c>
      <c r="G17" t="s">
        <v>140</v>
      </c>
      <c r="H17" t="s">
        <v>141</v>
      </c>
      <c r="I17">
        <f t="shared" si="0"/>
        <v>0.218687534332275</v>
      </c>
    </row>
    <row r="18" spans="1:9" x14ac:dyDescent="0.3">
      <c r="A18" t="s">
        <v>109</v>
      </c>
      <c r="B18">
        <v>1000</v>
      </c>
      <c r="C18">
        <v>10</v>
      </c>
      <c r="D18">
        <v>4556</v>
      </c>
      <c r="E18">
        <v>4528</v>
      </c>
      <c r="F18">
        <v>4514</v>
      </c>
      <c r="G18" t="s">
        <v>142</v>
      </c>
      <c r="H18" t="s">
        <v>143</v>
      </c>
      <c r="I18">
        <f t="shared" si="0"/>
        <v>0.218238115310668</v>
      </c>
    </row>
    <row r="19" spans="1:9" x14ac:dyDescent="0.3">
      <c r="A19" t="s">
        <v>109</v>
      </c>
      <c r="B19">
        <v>1000</v>
      </c>
      <c r="C19">
        <v>15</v>
      </c>
      <c r="D19">
        <v>4556</v>
      </c>
      <c r="E19">
        <v>4528</v>
      </c>
      <c r="F19">
        <v>4514</v>
      </c>
      <c r="G19" t="s">
        <v>144</v>
      </c>
      <c r="H19" t="s">
        <v>145</v>
      </c>
      <c r="I19">
        <f t="shared" si="0"/>
        <v>0.276690483093261</v>
      </c>
    </row>
    <row r="20" spans="1:9" x14ac:dyDescent="0.3">
      <c r="A20" t="s">
        <v>109</v>
      </c>
      <c r="B20">
        <v>1000</v>
      </c>
      <c r="C20">
        <v>20</v>
      </c>
      <c r="D20">
        <v>4556</v>
      </c>
      <c r="E20">
        <v>4528</v>
      </c>
      <c r="F20">
        <v>4514</v>
      </c>
      <c r="G20" t="s">
        <v>146</v>
      </c>
      <c r="H20" t="s">
        <v>147</v>
      </c>
      <c r="I20">
        <f t="shared" si="0"/>
        <v>0.23788285255432101</v>
      </c>
    </row>
    <row r="21" spans="1:9" x14ac:dyDescent="0.3">
      <c r="A21" t="s">
        <v>109</v>
      </c>
      <c r="B21">
        <v>1000</v>
      </c>
      <c r="C21">
        <v>5</v>
      </c>
      <c r="D21">
        <v>4556</v>
      </c>
      <c r="E21">
        <v>4528</v>
      </c>
      <c r="F21">
        <v>4514</v>
      </c>
      <c r="G21" t="s">
        <v>148</v>
      </c>
      <c r="H21" t="s">
        <v>149</v>
      </c>
      <c r="I21">
        <f t="shared" si="0"/>
        <v>0.291370630264282</v>
      </c>
    </row>
    <row r="22" spans="1:9" x14ac:dyDescent="0.3">
      <c r="A22" t="s">
        <v>109</v>
      </c>
      <c r="B22">
        <v>100</v>
      </c>
      <c r="C22">
        <v>1</v>
      </c>
      <c r="D22">
        <v>4556</v>
      </c>
      <c r="E22">
        <v>4540</v>
      </c>
      <c r="F22">
        <v>4400</v>
      </c>
      <c r="G22" t="s">
        <v>150</v>
      </c>
      <c r="H22" t="s">
        <v>151</v>
      </c>
      <c r="I22">
        <f t="shared" si="0"/>
        <v>2.1034240722656201E-2</v>
      </c>
    </row>
    <row r="23" spans="1:9" x14ac:dyDescent="0.3">
      <c r="A23" t="s">
        <v>109</v>
      </c>
      <c r="B23">
        <v>100</v>
      </c>
      <c r="C23">
        <v>10</v>
      </c>
      <c r="D23">
        <v>4556</v>
      </c>
      <c r="E23">
        <v>4528</v>
      </c>
      <c r="F23">
        <v>4514</v>
      </c>
      <c r="G23" t="s">
        <v>152</v>
      </c>
      <c r="H23" t="s">
        <v>153</v>
      </c>
      <c r="I23">
        <f t="shared" si="0"/>
        <v>3.02066802978515E-2</v>
      </c>
    </row>
    <row r="24" spans="1:9" x14ac:dyDescent="0.3">
      <c r="A24" t="s">
        <v>109</v>
      </c>
      <c r="B24">
        <v>100</v>
      </c>
      <c r="C24">
        <v>15</v>
      </c>
      <c r="D24">
        <v>4556</v>
      </c>
      <c r="E24">
        <v>4540</v>
      </c>
      <c r="F24">
        <v>4400</v>
      </c>
      <c r="G24" t="s">
        <v>154</v>
      </c>
      <c r="H24" t="s">
        <v>155</v>
      </c>
      <c r="I24">
        <f t="shared" si="0"/>
        <v>2.80330181121826E-2</v>
      </c>
    </row>
    <row r="25" spans="1:9" x14ac:dyDescent="0.3">
      <c r="A25" t="s">
        <v>109</v>
      </c>
      <c r="B25">
        <v>100</v>
      </c>
      <c r="C25">
        <v>20</v>
      </c>
      <c r="D25">
        <v>4556</v>
      </c>
      <c r="E25">
        <v>4528</v>
      </c>
      <c r="F25">
        <v>4514</v>
      </c>
      <c r="G25" t="s">
        <v>156</v>
      </c>
      <c r="H25" t="s">
        <v>157</v>
      </c>
      <c r="I25">
        <f t="shared" si="0"/>
        <v>3.11417579650878E-2</v>
      </c>
    </row>
    <row r="26" spans="1:9" x14ac:dyDescent="0.3">
      <c r="A26" t="s">
        <v>109</v>
      </c>
      <c r="B26">
        <v>100</v>
      </c>
      <c r="C26">
        <v>5</v>
      </c>
      <c r="D26">
        <v>4556</v>
      </c>
      <c r="E26">
        <v>4532</v>
      </c>
      <c r="F26">
        <v>4476</v>
      </c>
      <c r="G26" t="s">
        <v>158</v>
      </c>
      <c r="H26" t="s">
        <v>159</v>
      </c>
      <c r="I26">
        <f t="shared" si="0"/>
        <v>2.60205268859863E-2</v>
      </c>
    </row>
    <row r="27" spans="1:9" x14ac:dyDescent="0.3">
      <c r="A27" t="s">
        <v>109</v>
      </c>
      <c r="B27">
        <v>500000</v>
      </c>
      <c r="C27">
        <v>1</v>
      </c>
      <c r="D27">
        <v>4556</v>
      </c>
      <c r="E27">
        <v>4502</v>
      </c>
      <c r="F27">
        <v>4082</v>
      </c>
      <c r="G27" t="s">
        <v>160</v>
      </c>
      <c r="H27" t="s">
        <v>161</v>
      </c>
      <c r="I27">
        <f t="shared" si="0"/>
        <v>149.513194322586</v>
      </c>
    </row>
    <row r="28" spans="1:9" x14ac:dyDescent="0.3">
      <c r="A28" t="s">
        <v>109</v>
      </c>
      <c r="B28">
        <v>500000</v>
      </c>
      <c r="C28">
        <v>10</v>
      </c>
      <c r="D28">
        <v>4556</v>
      </c>
      <c r="E28">
        <v>4533</v>
      </c>
      <c r="F28">
        <v>4127</v>
      </c>
      <c r="G28" t="s">
        <v>162</v>
      </c>
      <c r="H28" t="s">
        <v>163</v>
      </c>
      <c r="I28">
        <f t="shared" si="0"/>
        <v>117.746054172515</v>
      </c>
    </row>
    <row r="29" spans="1:9" x14ac:dyDescent="0.3">
      <c r="A29" t="s">
        <v>109</v>
      </c>
      <c r="B29">
        <v>500000</v>
      </c>
      <c r="C29">
        <v>15</v>
      </c>
      <c r="D29">
        <v>4556</v>
      </c>
      <c r="E29">
        <v>4532</v>
      </c>
      <c r="F29">
        <v>4476</v>
      </c>
      <c r="G29" t="s">
        <v>164</v>
      </c>
      <c r="H29" t="s">
        <v>165</v>
      </c>
      <c r="I29">
        <f t="shared" si="0"/>
        <v>127.342970371246</v>
      </c>
    </row>
    <row r="30" spans="1:9" x14ac:dyDescent="0.3">
      <c r="A30" t="s">
        <v>109</v>
      </c>
      <c r="B30">
        <v>500000</v>
      </c>
      <c r="C30">
        <v>20</v>
      </c>
      <c r="D30">
        <v>4556</v>
      </c>
      <c r="E30">
        <v>4528</v>
      </c>
      <c r="F30">
        <v>4514</v>
      </c>
      <c r="G30" t="s">
        <v>166</v>
      </c>
      <c r="H30" t="s">
        <v>167</v>
      </c>
      <c r="I30">
        <f t="shared" si="0"/>
        <v>132.48358607292101</v>
      </c>
    </row>
    <row r="31" spans="1:9" x14ac:dyDescent="0.3">
      <c r="A31" t="s">
        <v>109</v>
      </c>
      <c r="B31">
        <v>500000</v>
      </c>
      <c r="C31">
        <v>5</v>
      </c>
      <c r="D31">
        <v>4556</v>
      </c>
      <c r="E31">
        <v>4533</v>
      </c>
      <c r="F31">
        <v>4127</v>
      </c>
      <c r="G31" t="s">
        <v>168</v>
      </c>
      <c r="H31" t="s">
        <v>169</v>
      </c>
      <c r="I31">
        <f t="shared" si="0"/>
        <v>130.343187093734</v>
      </c>
    </row>
    <row r="32" spans="1:9" x14ac:dyDescent="0.3">
      <c r="A32" t="s">
        <v>109</v>
      </c>
      <c r="B32">
        <v>50000</v>
      </c>
      <c r="C32">
        <v>1</v>
      </c>
      <c r="D32">
        <v>4556</v>
      </c>
      <c r="E32">
        <v>4556</v>
      </c>
      <c r="F32">
        <v>4248</v>
      </c>
      <c r="G32" t="s">
        <v>170</v>
      </c>
      <c r="H32" t="s">
        <v>171</v>
      </c>
      <c r="I32">
        <f t="shared" si="0"/>
        <v>10.0252723693847</v>
      </c>
    </row>
    <row r="33" spans="1:9" x14ac:dyDescent="0.3">
      <c r="A33" t="s">
        <v>109</v>
      </c>
      <c r="B33">
        <v>50000</v>
      </c>
      <c r="C33">
        <v>10</v>
      </c>
      <c r="D33">
        <v>4556</v>
      </c>
      <c r="E33">
        <v>4497</v>
      </c>
      <c r="F33">
        <v>4469</v>
      </c>
      <c r="G33" t="s">
        <v>172</v>
      </c>
      <c r="H33" t="s">
        <v>173</v>
      </c>
      <c r="I33">
        <f t="shared" si="0"/>
        <v>14.6338658332824</v>
      </c>
    </row>
    <row r="34" spans="1:9" x14ac:dyDescent="0.3">
      <c r="A34" t="s">
        <v>109</v>
      </c>
      <c r="B34">
        <v>50000</v>
      </c>
      <c r="C34">
        <v>15</v>
      </c>
      <c r="D34">
        <v>4556</v>
      </c>
      <c r="E34">
        <v>4541</v>
      </c>
      <c r="F34">
        <v>4051</v>
      </c>
      <c r="G34" t="s">
        <v>174</v>
      </c>
      <c r="H34" t="s">
        <v>175</v>
      </c>
      <c r="I34">
        <f t="shared" ref="I34:I51" si="1">IF(ISNUMBER(G34), G34, SUBSTITUTE(G34, ".", ",")*1)</f>
        <v>11.297986984252899</v>
      </c>
    </row>
    <row r="35" spans="1:9" x14ac:dyDescent="0.3">
      <c r="A35" t="s">
        <v>109</v>
      </c>
      <c r="B35">
        <v>50000</v>
      </c>
      <c r="C35">
        <v>20</v>
      </c>
      <c r="D35">
        <v>4556</v>
      </c>
      <c r="E35">
        <v>4533</v>
      </c>
      <c r="F35">
        <v>4127</v>
      </c>
      <c r="G35" t="s">
        <v>176</v>
      </c>
      <c r="H35" t="s">
        <v>177</v>
      </c>
      <c r="I35">
        <f t="shared" si="1"/>
        <v>11.255826711654599</v>
      </c>
    </row>
    <row r="36" spans="1:9" x14ac:dyDescent="0.3">
      <c r="A36" t="s">
        <v>109</v>
      </c>
      <c r="B36">
        <v>50000</v>
      </c>
      <c r="C36">
        <v>5</v>
      </c>
      <c r="D36">
        <v>4556</v>
      </c>
      <c r="E36">
        <v>4532</v>
      </c>
      <c r="F36">
        <v>4476</v>
      </c>
      <c r="G36" t="s">
        <v>178</v>
      </c>
      <c r="H36" t="s">
        <v>179</v>
      </c>
      <c r="I36">
        <f t="shared" si="1"/>
        <v>12.470835924148499</v>
      </c>
    </row>
    <row r="37" spans="1:9" x14ac:dyDescent="0.3">
      <c r="A37" t="s">
        <v>109</v>
      </c>
      <c r="B37">
        <v>5000</v>
      </c>
      <c r="C37">
        <v>1</v>
      </c>
      <c r="D37">
        <v>4556</v>
      </c>
      <c r="E37">
        <v>4540</v>
      </c>
      <c r="F37">
        <v>4400</v>
      </c>
      <c r="G37" t="s">
        <v>180</v>
      </c>
      <c r="H37" t="s">
        <v>181</v>
      </c>
      <c r="I37">
        <f t="shared" si="1"/>
        <v>1.03534603118896</v>
      </c>
    </row>
    <row r="38" spans="1:9" x14ac:dyDescent="0.3">
      <c r="A38" t="s">
        <v>109</v>
      </c>
      <c r="B38">
        <v>5000</v>
      </c>
      <c r="C38">
        <v>10</v>
      </c>
      <c r="D38">
        <v>4556</v>
      </c>
      <c r="E38">
        <v>4528</v>
      </c>
      <c r="F38">
        <v>4514</v>
      </c>
      <c r="G38" t="s">
        <v>182</v>
      </c>
      <c r="H38" t="s">
        <v>183</v>
      </c>
      <c r="I38">
        <f t="shared" si="1"/>
        <v>1.20262670516967</v>
      </c>
    </row>
    <row r="39" spans="1:9" x14ac:dyDescent="0.3">
      <c r="A39" t="s">
        <v>109</v>
      </c>
      <c r="B39">
        <v>5000</v>
      </c>
      <c r="C39">
        <v>15</v>
      </c>
      <c r="D39">
        <v>4556</v>
      </c>
      <c r="E39">
        <v>4528</v>
      </c>
      <c r="F39">
        <v>4514</v>
      </c>
      <c r="G39" t="s">
        <v>184</v>
      </c>
      <c r="H39" t="s">
        <v>185</v>
      </c>
      <c r="I39">
        <f t="shared" si="1"/>
        <v>1.0795416831970199</v>
      </c>
    </row>
    <row r="40" spans="1:9" x14ac:dyDescent="0.3">
      <c r="A40" t="s">
        <v>109</v>
      </c>
      <c r="B40">
        <v>5000</v>
      </c>
      <c r="C40">
        <v>20</v>
      </c>
      <c r="D40">
        <v>4556</v>
      </c>
      <c r="E40">
        <v>4528</v>
      </c>
      <c r="F40">
        <v>4514</v>
      </c>
      <c r="G40" t="s">
        <v>186</v>
      </c>
      <c r="H40" t="s">
        <v>187</v>
      </c>
      <c r="I40">
        <f t="shared" si="1"/>
        <v>1.31871533393859</v>
      </c>
    </row>
    <row r="41" spans="1:9" x14ac:dyDescent="0.3">
      <c r="A41" t="s">
        <v>109</v>
      </c>
      <c r="B41">
        <v>5000</v>
      </c>
      <c r="C41">
        <v>5</v>
      </c>
      <c r="D41">
        <v>4556</v>
      </c>
      <c r="E41">
        <v>4497</v>
      </c>
      <c r="F41">
        <v>4469</v>
      </c>
      <c r="G41" t="s">
        <v>188</v>
      </c>
      <c r="H41" t="s">
        <v>189</v>
      </c>
      <c r="I41">
        <f t="shared" si="1"/>
        <v>1.2598962783813401</v>
      </c>
    </row>
    <row r="42" spans="1:9" x14ac:dyDescent="0.3">
      <c r="A42" t="s">
        <v>109</v>
      </c>
      <c r="B42">
        <v>500</v>
      </c>
      <c r="C42">
        <v>1</v>
      </c>
      <c r="D42">
        <v>4556</v>
      </c>
      <c r="E42">
        <v>4532</v>
      </c>
      <c r="F42">
        <v>4476</v>
      </c>
      <c r="G42" t="s">
        <v>190</v>
      </c>
      <c r="H42" t="s">
        <v>191</v>
      </c>
      <c r="I42">
        <f t="shared" si="1"/>
        <v>0.11668062210082999</v>
      </c>
    </row>
    <row r="43" spans="1:9" x14ac:dyDescent="0.3">
      <c r="A43" t="s">
        <v>109</v>
      </c>
      <c r="B43">
        <v>500</v>
      </c>
      <c r="C43">
        <v>10</v>
      </c>
      <c r="D43">
        <v>4556</v>
      </c>
      <c r="E43">
        <v>4544</v>
      </c>
      <c r="F43">
        <v>4362</v>
      </c>
      <c r="G43" t="s">
        <v>192</v>
      </c>
      <c r="H43" t="s">
        <v>193</v>
      </c>
      <c r="I43">
        <f t="shared" si="1"/>
        <v>0.112716674804687</v>
      </c>
    </row>
    <row r="44" spans="1:9" x14ac:dyDescent="0.3">
      <c r="A44" t="s">
        <v>109</v>
      </c>
      <c r="B44">
        <v>500</v>
      </c>
      <c r="C44">
        <v>15</v>
      </c>
      <c r="D44">
        <v>4556</v>
      </c>
      <c r="E44">
        <v>4532</v>
      </c>
      <c r="F44">
        <v>4476</v>
      </c>
      <c r="G44" t="s">
        <v>194</v>
      </c>
      <c r="H44" t="s">
        <v>195</v>
      </c>
      <c r="I44">
        <f t="shared" si="1"/>
        <v>0.10711240768432601</v>
      </c>
    </row>
    <row r="45" spans="1:9" x14ac:dyDescent="0.3">
      <c r="A45" t="s">
        <v>109</v>
      </c>
      <c r="B45">
        <v>500</v>
      </c>
      <c r="C45">
        <v>20</v>
      </c>
      <c r="D45">
        <v>4556</v>
      </c>
      <c r="E45">
        <v>4528</v>
      </c>
      <c r="F45">
        <v>4514</v>
      </c>
      <c r="G45" t="s">
        <v>196</v>
      </c>
      <c r="H45" t="s">
        <v>197</v>
      </c>
      <c r="I45">
        <f t="shared" si="1"/>
        <v>0.132197380065917</v>
      </c>
    </row>
    <row r="46" spans="1:9" x14ac:dyDescent="0.3">
      <c r="A46" t="s">
        <v>109</v>
      </c>
      <c r="B46">
        <v>500</v>
      </c>
      <c r="C46">
        <v>5</v>
      </c>
      <c r="D46">
        <v>4556</v>
      </c>
      <c r="E46">
        <v>4528</v>
      </c>
      <c r="F46">
        <v>4514</v>
      </c>
      <c r="G46" t="s">
        <v>198</v>
      </c>
      <c r="H46" t="s">
        <v>199</v>
      </c>
      <c r="I46">
        <f t="shared" si="1"/>
        <v>0.118488311767578</v>
      </c>
    </row>
    <row r="47" spans="1:9" x14ac:dyDescent="0.3">
      <c r="A47" t="s">
        <v>109</v>
      </c>
      <c r="B47">
        <v>50</v>
      </c>
      <c r="C47">
        <v>1</v>
      </c>
      <c r="D47">
        <v>4556</v>
      </c>
      <c r="E47">
        <v>4532</v>
      </c>
      <c r="F47">
        <v>4476</v>
      </c>
      <c r="G47" t="s">
        <v>200</v>
      </c>
      <c r="H47" t="s">
        <v>201</v>
      </c>
      <c r="I47">
        <f t="shared" si="1"/>
        <v>1.00011825561523E-2</v>
      </c>
    </row>
    <row r="48" spans="1:9" x14ac:dyDescent="0.3">
      <c r="A48" t="s">
        <v>109</v>
      </c>
      <c r="B48">
        <v>50</v>
      </c>
      <c r="C48">
        <v>10</v>
      </c>
      <c r="D48">
        <v>4556</v>
      </c>
      <c r="E48">
        <v>4528</v>
      </c>
      <c r="F48">
        <v>4514</v>
      </c>
      <c r="G48" t="s">
        <v>202</v>
      </c>
      <c r="H48" t="s">
        <v>203</v>
      </c>
      <c r="I48">
        <f t="shared" si="1"/>
        <v>1.45032405853271E-2</v>
      </c>
    </row>
    <row r="49" spans="1:9" x14ac:dyDescent="0.3">
      <c r="A49" t="s">
        <v>109</v>
      </c>
      <c r="B49">
        <v>50</v>
      </c>
      <c r="C49">
        <v>15</v>
      </c>
      <c r="D49">
        <v>4556</v>
      </c>
      <c r="E49">
        <v>4528</v>
      </c>
      <c r="F49">
        <v>4514</v>
      </c>
      <c r="G49" t="s">
        <v>204</v>
      </c>
      <c r="H49" t="s">
        <v>205</v>
      </c>
      <c r="I49">
        <f t="shared" si="1"/>
        <v>1.1999607086181601E-2</v>
      </c>
    </row>
    <row r="50" spans="1:9" x14ac:dyDescent="0.3">
      <c r="A50" t="s">
        <v>109</v>
      </c>
      <c r="B50">
        <v>50</v>
      </c>
      <c r="C50">
        <v>20</v>
      </c>
      <c r="D50">
        <v>4556</v>
      </c>
      <c r="E50">
        <v>4528</v>
      </c>
      <c r="F50">
        <v>4514</v>
      </c>
      <c r="G50" t="s">
        <v>206</v>
      </c>
      <c r="H50" t="s">
        <v>207</v>
      </c>
      <c r="I50">
        <f t="shared" si="1"/>
        <v>1.6999244689941399E-2</v>
      </c>
    </row>
    <row r="51" spans="1:9" x14ac:dyDescent="0.3">
      <c r="A51" t="s">
        <v>109</v>
      </c>
      <c r="B51">
        <v>50</v>
      </c>
      <c r="C51">
        <v>5</v>
      </c>
      <c r="D51">
        <v>4556</v>
      </c>
      <c r="E51">
        <v>4532</v>
      </c>
      <c r="F51">
        <v>4476</v>
      </c>
      <c r="G51" t="s">
        <v>208</v>
      </c>
      <c r="H51" t="s">
        <v>209</v>
      </c>
      <c r="I51">
        <f t="shared" si="1"/>
        <v>1.20341777801513E-2</v>
      </c>
    </row>
    <row r="57" spans="1:9" x14ac:dyDescent="0.3">
      <c r="A57" t="s">
        <v>103</v>
      </c>
      <c r="B57">
        <f>AVERAGE(results_1_fusionné[tps_nb])</f>
        <v>43.823177690505901</v>
      </c>
    </row>
    <row r="58" spans="1:9" x14ac:dyDescent="0.3">
      <c r="A58" t="s">
        <v>104</v>
      </c>
      <c r="B58">
        <f>MAX(results_1_fusionné[Total profit])</f>
        <v>4514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4498.8</v>
      </c>
    </row>
    <row r="62" spans="1:9" x14ac:dyDescent="0.3">
      <c r="A62" s="2">
        <v>100</v>
      </c>
      <c r="B62">
        <v>4460.8</v>
      </c>
    </row>
    <row r="63" spans="1:9" x14ac:dyDescent="0.3">
      <c r="A63" s="2">
        <v>500</v>
      </c>
      <c r="B63">
        <v>4468.3999999999996</v>
      </c>
    </row>
    <row r="64" spans="1:9" x14ac:dyDescent="0.3">
      <c r="A64" s="2">
        <v>1000</v>
      </c>
      <c r="B64">
        <v>4506.3999999999996</v>
      </c>
    </row>
    <row r="65" spans="1:2" x14ac:dyDescent="0.3">
      <c r="A65" s="2">
        <v>5000</v>
      </c>
      <c r="B65">
        <v>4482.2</v>
      </c>
    </row>
    <row r="66" spans="1:2" x14ac:dyDescent="0.3">
      <c r="A66" s="2">
        <v>10000</v>
      </c>
      <c r="B66">
        <v>4274.2</v>
      </c>
    </row>
    <row r="67" spans="1:2" x14ac:dyDescent="0.3">
      <c r="A67" s="2">
        <v>50000</v>
      </c>
      <c r="B67">
        <v>4274.2</v>
      </c>
    </row>
    <row r="68" spans="1:2" x14ac:dyDescent="0.3">
      <c r="A68" s="2">
        <v>100000</v>
      </c>
      <c r="B68">
        <v>4266.6000000000004</v>
      </c>
    </row>
    <row r="69" spans="1:2" x14ac:dyDescent="0.3">
      <c r="A69" s="2">
        <v>500000</v>
      </c>
      <c r="B69">
        <v>4265.2</v>
      </c>
    </row>
    <row r="70" spans="1:2" x14ac:dyDescent="0.3">
      <c r="A70" s="2">
        <v>1000000</v>
      </c>
      <c r="B70">
        <v>4389.6000000000004</v>
      </c>
    </row>
    <row r="71" spans="1:2" x14ac:dyDescent="0.3">
      <c r="A71" s="2" t="s">
        <v>106</v>
      </c>
      <c r="B71">
        <v>4388.6400000000003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4374.3999999999996</v>
      </c>
    </row>
    <row r="79" spans="1:2" x14ac:dyDescent="0.3">
      <c r="A79" s="2">
        <v>5</v>
      </c>
      <c r="B79">
        <v>4401.7</v>
      </c>
    </row>
    <row r="80" spans="1:2" x14ac:dyDescent="0.3">
      <c r="A80" s="2">
        <v>10</v>
      </c>
      <c r="B80">
        <v>4417.6000000000004</v>
      </c>
    </row>
    <row r="81" spans="1:2" x14ac:dyDescent="0.3">
      <c r="A81" s="2">
        <v>15</v>
      </c>
      <c r="B81">
        <v>4416.8999999999996</v>
      </c>
    </row>
    <row r="82" spans="1:2" x14ac:dyDescent="0.3">
      <c r="A82" s="2">
        <v>20</v>
      </c>
      <c r="B82">
        <v>4332.6000000000004</v>
      </c>
    </row>
    <row r="83" spans="1:2" x14ac:dyDescent="0.3">
      <c r="A83" s="2" t="s">
        <v>106</v>
      </c>
      <c r="B83">
        <v>4388.6400000000003</v>
      </c>
    </row>
  </sheetData>
  <pageMargins left="0.7" right="0.7" top="0.75" bottom="0.75" header="0.3" footer="0.3"/>
  <pageSetup paperSize="9" orientation="portrait" r:id="rId3"/>
  <drawing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BA0C0-CB5B-45BB-B558-BEA3EC6A8F8D}">
  <dimension ref="A1:I83"/>
  <sheetViews>
    <sheetView topLeftCell="A61" workbookViewId="0">
      <selection activeCell="B58" sqref="B58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9.3320312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210</v>
      </c>
      <c r="B2">
        <v>1000000</v>
      </c>
      <c r="C2">
        <v>1</v>
      </c>
      <c r="D2">
        <v>970</v>
      </c>
      <c r="E2">
        <v>960</v>
      </c>
      <c r="F2">
        <v>1560</v>
      </c>
      <c r="G2" t="s">
        <v>211</v>
      </c>
      <c r="H2" t="s">
        <v>212</v>
      </c>
      <c r="I2">
        <f t="shared" ref="I2:I33" si="0">IF(ISNUMBER(G2), G2, SUBSTITUTE(G2, ".", ",")*1)</f>
        <v>32.5255672931671</v>
      </c>
    </row>
    <row r="3" spans="1:9" x14ac:dyDescent="0.3">
      <c r="A3" t="s">
        <v>210</v>
      </c>
      <c r="B3">
        <v>1000000</v>
      </c>
      <c r="C3">
        <v>10</v>
      </c>
      <c r="D3">
        <v>970</v>
      </c>
      <c r="E3">
        <v>969</v>
      </c>
      <c r="F3">
        <v>1989</v>
      </c>
      <c r="G3" t="s">
        <v>213</v>
      </c>
      <c r="H3" t="s">
        <v>214</v>
      </c>
      <c r="I3">
        <f>IF(ISNUMBER(G3), G3, SUBSTITUTE(G3, ".", ",")*1)</f>
        <v>32.902185440063398</v>
      </c>
    </row>
    <row r="4" spans="1:9" x14ac:dyDescent="0.3">
      <c r="A4" t="s">
        <v>210</v>
      </c>
      <c r="B4">
        <v>1000000</v>
      </c>
      <c r="C4">
        <v>15</v>
      </c>
      <c r="D4">
        <v>970</v>
      </c>
      <c r="E4">
        <v>969</v>
      </c>
      <c r="F4">
        <v>1989</v>
      </c>
      <c r="G4" t="s">
        <v>215</v>
      </c>
      <c r="H4" t="s">
        <v>216</v>
      </c>
      <c r="I4">
        <f t="shared" si="0"/>
        <v>34.493696451187098</v>
      </c>
    </row>
    <row r="5" spans="1:9" x14ac:dyDescent="0.3">
      <c r="A5" t="s">
        <v>210</v>
      </c>
      <c r="B5">
        <v>1000000</v>
      </c>
      <c r="C5">
        <v>20</v>
      </c>
      <c r="D5">
        <v>970</v>
      </c>
      <c r="E5">
        <v>969</v>
      </c>
      <c r="F5">
        <v>1989</v>
      </c>
      <c r="G5" t="s">
        <v>217</v>
      </c>
      <c r="H5" t="s">
        <v>218</v>
      </c>
      <c r="I5">
        <f t="shared" si="0"/>
        <v>33.525494337081902</v>
      </c>
    </row>
    <row r="6" spans="1:9" x14ac:dyDescent="0.3">
      <c r="A6" t="s">
        <v>210</v>
      </c>
      <c r="B6">
        <v>1000000</v>
      </c>
      <c r="C6">
        <v>5</v>
      </c>
      <c r="D6">
        <v>970</v>
      </c>
      <c r="E6">
        <v>956</v>
      </c>
      <c r="F6">
        <v>1716</v>
      </c>
      <c r="G6" t="s">
        <v>219</v>
      </c>
      <c r="H6" t="s">
        <v>220</v>
      </c>
      <c r="I6">
        <f t="shared" si="0"/>
        <v>28.6639854907989</v>
      </c>
    </row>
    <row r="7" spans="1:9" x14ac:dyDescent="0.3">
      <c r="A7" t="s">
        <v>210</v>
      </c>
      <c r="B7">
        <v>100000</v>
      </c>
      <c r="C7">
        <v>1</v>
      </c>
      <c r="D7">
        <v>970</v>
      </c>
      <c r="E7">
        <v>954</v>
      </c>
      <c r="F7">
        <v>1794</v>
      </c>
      <c r="G7" t="s">
        <v>221</v>
      </c>
      <c r="H7" t="s">
        <v>222</v>
      </c>
      <c r="I7">
        <f t="shared" si="0"/>
        <v>2.9671339988708398</v>
      </c>
    </row>
    <row r="8" spans="1:9" x14ac:dyDescent="0.3">
      <c r="A8" t="s">
        <v>210</v>
      </c>
      <c r="B8">
        <v>100000</v>
      </c>
      <c r="C8">
        <v>10</v>
      </c>
      <c r="D8">
        <v>970</v>
      </c>
      <c r="E8">
        <v>954</v>
      </c>
      <c r="F8">
        <v>1794</v>
      </c>
      <c r="G8" t="s">
        <v>223</v>
      </c>
      <c r="H8" t="s">
        <v>224</v>
      </c>
      <c r="I8">
        <f t="shared" si="0"/>
        <v>3.2131130695343</v>
      </c>
    </row>
    <row r="9" spans="1:9" x14ac:dyDescent="0.3">
      <c r="A9" t="s">
        <v>210</v>
      </c>
      <c r="B9">
        <v>100000</v>
      </c>
      <c r="C9">
        <v>15</v>
      </c>
      <c r="D9">
        <v>970</v>
      </c>
      <c r="E9">
        <v>969</v>
      </c>
      <c r="F9">
        <v>1989</v>
      </c>
      <c r="G9" t="s">
        <v>225</v>
      </c>
      <c r="H9" t="s">
        <v>226</v>
      </c>
      <c r="I9">
        <f t="shared" si="0"/>
        <v>3.6141803264617902</v>
      </c>
    </row>
    <row r="10" spans="1:9" x14ac:dyDescent="0.3">
      <c r="A10" t="s">
        <v>210</v>
      </c>
      <c r="B10">
        <v>100000</v>
      </c>
      <c r="C10">
        <v>20</v>
      </c>
      <c r="D10">
        <v>970</v>
      </c>
      <c r="E10">
        <v>969</v>
      </c>
      <c r="F10">
        <v>1989</v>
      </c>
      <c r="G10" t="s">
        <v>227</v>
      </c>
      <c r="H10" t="s">
        <v>228</v>
      </c>
      <c r="I10">
        <f t="shared" si="0"/>
        <v>3.5173413753509499</v>
      </c>
    </row>
    <row r="11" spans="1:9" x14ac:dyDescent="0.3">
      <c r="A11" t="s">
        <v>210</v>
      </c>
      <c r="B11">
        <v>100000</v>
      </c>
      <c r="C11">
        <v>5</v>
      </c>
      <c r="D11">
        <v>970</v>
      </c>
      <c r="E11">
        <v>969</v>
      </c>
      <c r="F11">
        <v>1989</v>
      </c>
      <c r="G11" t="s">
        <v>229</v>
      </c>
      <c r="H11" t="s">
        <v>230</v>
      </c>
      <c r="I11">
        <f t="shared" si="0"/>
        <v>3.6816494464874201</v>
      </c>
    </row>
    <row r="12" spans="1:9" x14ac:dyDescent="0.3">
      <c r="A12" t="s">
        <v>210</v>
      </c>
      <c r="B12">
        <v>10000</v>
      </c>
      <c r="C12">
        <v>1</v>
      </c>
      <c r="D12">
        <v>970</v>
      </c>
      <c r="E12">
        <v>969</v>
      </c>
      <c r="F12">
        <v>1989</v>
      </c>
      <c r="G12" t="s">
        <v>231</v>
      </c>
      <c r="H12" t="s">
        <v>232</v>
      </c>
      <c r="I12">
        <f t="shared" si="0"/>
        <v>0.32379484176635698</v>
      </c>
    </row>
    <row r="13" spans="1:9" x14ac:dyDescent="0.3">
      <c r="A13" t="s">
        <v>210</v>
      </c>
      <c r="B13">
        <v>10000</v>
      </c>
      <c r="C13">
        <v>10</v>
      </c>
      <c r="D13">
        <v>970</v>
      </c>
      <c r="E13">
        <v>956</v>
      </c>
      <c r="F13">
        <v>1716</v>
      </c>
      <c r="G13" t="s">
        <v>233</v>
      </c>
      <c r="H13" t="s">
        <v>234</v>
      </c>
      <c r="I13">
        <f t="shared" si="0"/>
        <v>0.34864592552184998</v>
      </c>
    </row>
    <row r="14" spans="1:9" x14ac:dyDescent="0.3">
      <c r="A14" t="s">
        <v>210</v>
      </c>
      <c r="B14">
        <v>10000</v>
      </c>
      <c r="C14">
        <v>15</v>
      </c>
      <c r="D14">
        <v>970</v>
      </c>
      <c r="E14">
        <v>958</v>
      </c>
      <c r="F14">
        <v>1638</v>
      </c>
      <c r="G14" t="s">
        <v>235</v>
      </c>
      <c r="H14" t="s">
        <v>236</v>
      </c>
      <c r="I14">
        <f t="shared" si="0"/>
        <v>0.36672568321228</v>
      </c>
    </row>
    <row r="15" spans="1:9" x14ac:dyDescent="0.3">
      <c r="A15" t="s">
        <v>210</v>
      </c>
      <c r="B15">
        <v>10000</v>
      </c>
      <c r="C15">
        <v>20</v>
      </c>
      <c r="D15">
        <v>970</v>
      </c>
      <c r="E15">
        <v>956</v>
      </c>
      <c r="F15">
        <v>1716</v>
      </c>
      <c r="G15" t="s">
        <v>237</v>
      </c>
      <c r="H15" t="s">
        <v>238</v>
      </c>
      <c r="I15">
        <f t="shared" si="0"/>
        <v>0.33221459388732899</v>
      </c>
    </row>
    <row r="16" spans="1:9" x14ac:dyDescent="0.3">
      <c r="A16" t="s">
        <v>210</v>
      </c>
      <c r="B16">
        <v>10000</v>
      </c>
      <c r="C16">
        <v>5</v>
      </c>
      <c r="D16">
        <v>970</v>
      </c>
      <c r="E16">
        <v>969</v>
      </c>
      <c r="F16">
        <v>1989</v>
      </c>
      <c r="G16" t="s">
        <v>239</v>
      </c>
      <c r="H16" t="s">
        <v>240</v>
      </c>
      <c r="I16">
        <f t="shared" si="0"/>
        <v>0.32562375068664501</v>
      </c>
    </row>
    <row r="17" spans="1:9" x14ac:dyDescent="0.3">
      <c r="A17" t="s">
        <v>210</v>
      </c>
      <c r="B17">
        <v>1000</v>
      </c>
      <c r="C17">
        <v>1</v>
      </c>
      <c r="D17">
        <v>970</v>
      </c>
      <c r="E17">
        <v>969</v>
      </c>
      <c r="F17">
        <v>1989</v>
      </c>
      <c r="G17" t="s">
        <v>241</v>
      </c>
      <c r="H17" t="s">
        <v>242</v>
      </c>
      <c r="I17">
        <f t="shared" si="0"/>
        <v>3.1969547271728502E-2</v>
      </c>
    </row>
    <row r="18" spans="1:9" x14ac:dyDescent="0.3">
      <c r="A18" t="s">
        <v>210</v>
      </c>
      <c r="B18">
        <v>1000</v>
      </c>
      <c r="C18">
        <v>10</v>
      </c>
      <c r="D18">
        <v>970</v>
      </c>
      <c r="E18">
        <v>969</v>
      </c>
      <c r="F18">
        <v>1989</v>
      </c>
      <c r="G18" t="s">
        <v>243</v>
      </c>
      <c r="H18" t="s">
        <v>244</v>
      </c>
      <c r="I18">
        <f t="shared" si="0"/>
        <v>4.05163764953613E-2</v>
      </c>
    </row>
    <row r="19" spans="1:9" x14ac:dyDescent="0.3">
      <c r="A19" t="s">
        <v>210</v>
      </c>
      <c r="B19">
        <v>1000</v>
      </c>
      <c r="C19">
        <v>15</v>
      </c>
      <c r="D19">
        <v>970</v>
      </c>
      <c r="E19">
        <v>969</v>
      </c>
      <c r="F19">
        <v>1989</v>
      </c>
      <c r="G19" t="s">
        <v>245</v>
      </c>
      <c r="H19" t="s">
        <v>246</v>
      </c>
      <c r="I19">
        <f t="shared" si="0"/>
        <v>3.5041332244872998E-2</v>
      </c>
    </row>
    <row r="20" spans="1:9" x14ac:dyDescent="0.3">
      <c r="A20" t="s">
        <v>210</v>
      </c>
      <c r="B20">
        <v>1000</v>
      </c>
      <c r="C20">
        <v>20</v>
      </c>
      <c r="D20">
        <v>970</v>
      </c>
      <c r="E20">
        <v>969</v>
      </c>
      <c r="F20">
        <v>1989</v>
      </c>
      <c r="G20" t="s">
        <v>247</v>
      </c>
      <c r="H20" t="s">
        <v>248</v>
      </c>
      <c r="I20">
        <f t="shared" si="0"/>
        <v>3.4157276153564398E-2</v>
      </c>
    </row>
    <row r="21" spans="1:9" x14ac:dyDescent="0.3">
      <c r="A21" t="s">
        <v>210</v>
      </c>
      <c r="B21">
        <v>1000</v>
      </c>
      <c r="C21">
        <v>5</v>
      </c>
      <c r="D21">
        <v>970</v>
      </c>
      <c r="E21">
        <v>969</v>
      </c>
      <c r="F21">
        <v>1989</v>
      </c>
      <c r="G21" t="s">
        <v>249</v>
      </c>
      <c r="H21" t="s">
        <v>250</v>
      </c>
      <c r="I21">
        <f t="shared" si="0"/>
        <v>3.2000541687011698E-2</v>
      </c>
    </row>
    <row r="22" spans="1:9" x14ac:dyDescent="0.3">
      <c r="A22" t="s">
        <v>210</v>
      </c>
      <c r="B22">
        <v>100</v>
      </c>
      <c r="C22">
        <v>1</v>
      </c>
      <c r="D22">
        <v>970</v>
      </c>
      <c r="E22">
        <v>969</v>
      </c>
      <c r="F22">
        <v>1989</v>
      </c>
      <c r="G22" t="s">
        <v>251</v>
      </c>
      <c r="H22" t="s">
        <v>252</v>
      </c>
      <c r="I22">
        <f t="shared" si="0"/>
        <v>3.0357837677000999E-3</v>
      </c>
    </row>
    <row r="23" spans="1:9" x14ac:dyDescent="0.3">
      <c r="A23" t="s">
        <v>210</v>
      </c>
      <c r="B23">
        <v>100</v>
      </c>
      <c r="C23">
        <v>10</v>
      </c>
      <c r="D23">
        <v>970</v>
      </c>
      <c r="E23">
        <v>969</v>
      </c>
      <c r="F23">
        <v>1989</v>
      </c>
      <c r="G23" t="s">
        <v>251</v>
      </c>
      <c r="H23" t="s">
        <v>253</v>
      </c>
      <c r="I23">
        <f t="shared" si="0"/>
        <v>3.0357837677000999E-3</v>
      </c>
    </row>
    <row r="24" spans="1:9" x14ac:dyDescent="0.3">
      <c r="A24" t="s">
        <v>210</v>
      </c>
      <c r="B24">
        <v>100</v>
      </c>
      <c r="C24">
        <v>15</v>
      </c>
      <c r="D24">
        <v>970</v>
      </c>
      <c r="E24">
        <v>969</v>
      </c>
      <c r="F24">
        <v>1989</v>
      </c>
      <c r="G24" t="s">
        <v>254</v>
      </c>
      <c r="H24" t="s">
        <v>255</v>
      </c>
      <c r="I24">
        <f t="shared" si="0"/>
        <v>3.9627552032470001E-3</v>
      </c>
    </row>
    <row r="25" spans="1:9" x14ac:dyDescent="0.3">
      <c r="A25" t="s">
        <v>210</v>
      </c>
      <c r="B25">
        <v>100</v>
      </c>
      <c r="C25">
        <v>20</v>
      </c>
      <c r="D25">
        <v>970</v>
      </c>
      <c r="E25">
        <v>969</v>
      </c>
      <c r="F25">
        <v>1989</v>
      </c>
      <c r="G25" t="s">
        <v>256</v>
      </c>
      <c r="H25" t="s">
        <v>257</v>
      </c>
      <c r="I25">
        <f t="shared" si="0"/>
        <v>3.9992332458495998E-3</v>
      </c>
    </row>
    <row r="26" spans="1:9" x14ac:dyDescent="0.3">
      <c r="A26" t="s">
        <v>210</v>
      </c>
      <c r="B26">
        <v>100</v>
      </c>
      <c r="C26">
        <v>5</v>
      </c>
      <c r="D26">
        <v>970</v>
      </c>
      <c r="E26">
        <v>969</v>
      </c>
      <c r="F26">
        <v>1989</v>
      </c>
      <c r="G26" t="s">
        <v>258</v>
      </c>
      <c r="H26" t="s">
        <v>259</v>
      </c>
      <c r="I26">
        <f t="shared" si="0"/>
        <v>2.9983520507812001E-3</v>
      </c>
    </row>
    <row r="27" spans="1:9" x14ac:dyDescent="0.3">
      <c r="A27" t="s">
        <v>210</v>
      </c>
      <c r="B27">
        <v>500000</v>
      </c>
      <c r="C27">
        <v>1</v>
      </c>
      <c r="D27">
        <v>970</v>
      </c>
      <c r="E27">
        <v>969</v>
      </c>
      <c r="F27">
        <v>1989</v>
      </c>
      <c r="G27" t="s">
        <v>260</v>
      </c>
      <c r="H27" t="s">
        <v>261</v>
      </c>
      <c r="I27">
        <f t="shared" si="0"/>
        <v>18.6424462795257</v>
      </c>
    </row>
    <row r="28" spans="1:9" x14ac:dyDescent="0.3">
      <c r="A28" t="s">
        <v>210</v>
      </c>
      <c r="B28">
        <v>500000</v>
      </c>
      <c r="C28">
        <v>10</v>
      </c>
      <c r="D28">
        <v>970</v>
      </c>
      <c r="E28">
        <v>969</v>
      </c>
      <c r="F28">
        <v>1989</v>
      </c>
      <c r="G28" t="s">
        <v>262</v>
      </c>
      <c r="H28" t="s">
        <v>263</v>
      </c>
      <c r="I28">
        <f t="shared" si="0"/>
        <v>17.758221149444498</v>
      </c>
    </row>
    <row r="29" spans="1:9" x14ac:dyDescent="0.3">
      <c r="A29" t="s">
        <v>210</v>
      </c>
      <c r="B29">
        <v>500000</v>
      </c>
      <c r="C29">
        <v>15</v>
      </c>
      <c r="D29">
        <v>970</v>
      </c>
      <c r="E29">
        <v>969</v>
      </c>
      <c r="F29">
        <v>1989</v>
      </c>
      <c r="G29" t="s">
        <v>264</v>
      </c>
      <c r="H29" t="s">
        <v>265</v>
      </c>
      <c r="I29">
        <f t="shared" si="0"/>
        <v>22.0190734863281</v>
      </c>
    </row>
    <row r="30" spans="1:9" x14ac:dyDescent="0.3">
      <c r="A30" t="s">
        <v>210</v>
      </c>
      <c r="B30">
        <v>500000</v>
      </c>
      <c r="C30">
        <v>20</v>
      </c>
      <c r="D30">
        <v>970</v>
      </c>
      <c r="E30">
        <v>969</v>
      </c>
      <c r="F30">
        <v>1989</v>
      </c>
      <c r="G30" t="s">
        <v>266</v>
      </c>
      <c r="H30" t="s">
        <v>267</v>
      </c>
      <c r="I30">
        <f t="shared" si="0"/>
        <v>23.3975076675415</v>
      </c>
    </row>
    <row r="31" spans="1:9" x14ac:dyDescent="0.3">
      <c r="A31" t="s">
        <v>210</v>
      </c>
      <c r="B31">
        <v>500000</v>
      </c>
      <c r="C31">
        <v>5</v>
      </c>
      <c r="D31">
        <v>970</v>
      </c>
      <c r="E31">
        <v>960</v>
      </c>
      <c r="F31">
        <v>1560</v>
      </c>
      <c r="G31" t="s">
        <v>268</v>
      </c>
      <c r="H31" t="s">
        <v>269</v>
      </c>
      <c r="I31">
        <f t="shared" si="0"/>
        <v>15.385166645050001</v>
      </c>
    </row>
    <row r="32" spans="1:9" x14ac:dyDescent="0.3">
      <c r="A32" t="s">
        <v>210</v>
      </c>
      <c r="B32">
        <v>50000</v>
      </c>
      <c r="C32">
        <v>1</v>
      </c>
      <c r="D32">
        <v>970</v>
      </c>
      <c r="E32">
        <v>956</v>
      </c>
      <c r="F32">
        <v>1716</v>
      </c>
      <c r="G32" t="s">
        <v>270</v>
      </c>
      <c r="H32" t="s">
        <v>271</v>
      </c>
      <c r="I32">
        <f t="shared" si="0"/>
        <v>1.4735131263732899</v>
      </c>
    </row>
    <row r="33" spans="1:9" x14ac:dyDescent="0.3">
      <c r="A33" t="s">
        <v>210</v>
      </c>
      <c r="B33">
        <v>50000</v>
      </c>
      <c r="C33">
        <v>10</v>
      </c>
      <c r="D33">
        <v>970</v>
      </c>
      <c r="E33">
        <v>956</v>
      </c>
      <c r="F33">
        <v>1716</v>
      </c>
      <c r="G33" t="s">
        <v>272</v>
      </c>
      <c r="H33" t="s">
        <v>273</v>
      </c>
      <c r="I33">
        <f t="shared" si="0"/>
        <v>1.6426265239715501</v>
      </c>
    </row>
    <row r="34" spans="1:9" x14ac:dyDescent="0.3">
      <c r="A34" t="s">
        <v>210</v>
      </c>
      <c r="B34">
        <v>50000</v>
      </c>
      <c r="C34">
        <v>15</v>
      </c>
      <c r="D34">
        <v>970</v>
      </c>
      <c r="E34">
        <v>969</v>
      </c>
      <c r="F34">
        <v>1989</v>
      </c>
      <c r="G34" t="s">
        <v>274</v>
      </c>
      <c r="H34" t="s">
        <v>275</v>
      </c>
      <c r="I34">
        <f t="shared" ref="I34:I51" si="1">IF(ISNUMBER(G34), G34, SUBSTITUTE(G34, ".", ",")*1)</f>
        <v>1.62289810180664</v>
      </c>
    </row>
    <row r="35" spans="1:9" x14ac:dyDescent="0.3">
      <c r="A35" t="s">
        <v>210</v>
      </c>
      <c r="B35">
        <v>50000</v>
      </c>
      <c r="C35">
        <v>20</v>
      </c>
      <c r="D35">
        <v>970</v>
      </c>
      <c r="E35">
        <v>969</v>
      </c>
      <c r="F35">
        <v>1989</v>
      </c>
      <c r="G35" t="s">
        <v>276</v>
      </c>
      <c r="H35" t="s">
        <v>277</v>
      </c>
      <c r="I35">
        <f t="shared" si="1"/>
        <v>1.76220154762268</v>
      </c>
    </row>
    <row r="36" spans="1:9" x14ac:dyDescent="0.3">
      <c r="A36" t="s">
        <v>210</v>
      </c>
      <c r="B36">
        <v>50000</v>
      </c>
      <c r="C36">
        <v>5</v>
      </c>
      <c r="D36">
        <v>970</v>
      </c>
      <c r="E36">
        <v>969</v>
      </c>
      <c r="F36">
        <v>1989</v>
      </c>
      <c r="G36" t="s">
        <v>278</v>
      </c>
      <c r="H36" t="s">
        <v>279</v>
      </c>
      <c r="I36">
        <f t="shared" si="1"/>
        <v>1.6156044006347601</v>
      </c>
    </row>
    <row r="37" spans="1:9" x14ac:dyDescent="0.3">
      <c r="A37" t="s">
        <v>210</v>
      </c>
      <c r="B37">
        <v>5000</v>
      </c>
      <c r="C37">
        <v>1</v>
      </c>
      <c r="D37">
        <v>970</v>
      </c>
      <c r="E37">
        <v>954</v>
      </c>
      <c r="F37">
        <v>1794</v>
      </c>
      <c r="G37" t="s">
        <v>280</v>
      </c>
      <c r="H37" t="s">
        <v>281</v>
      </c>
      <c r="I37">
        <f t="shared" si="1"/>
        <v>0.15204524993896401</v>
      </c>
    </row>
    <row r="38" spans="1:9" x14ac:dyDescent="0.3">
      <c r="A38" t="s">
        <v>210</v>
      </c>
      <c r="B38">
        <v>5000</v>
      </c>
      <c r="C38">
        <v>10</v>
      </c>
      <c r="D38">
        <v>970</v>
      </c>
      <c r="E38">
        <v>956</v>
      </c>
      <c r="F38">
        <v>1716</v>
      </c>
      <c r="G38" t="s">
        <v>282</v>
      </c>
      <c r="H38" t="s">
        <v>283</v>
      </c>
      <c r="I38">
        <f t="shared" si="1"/>
        <v>0.15699195861816401</v>
      </c>
    </row>
    <row r="39" spans="1:9" x14ac:dyDescent="0.3">
      <c r="A39" t="s">
        <v>210</v>
      </c>
      <c r="B39">
        <v>5000</v>
      </c>
      <c r="C39">
        <v>15</v>
      </c>
      <c r="D39">
        <v>970</v>
      </c>
      <c r="E39">
        <v>958</v>
      </c>
      <c r="F39">
        <v>1638</v>
      </c>
      <c r="G39" t="s">
        <v>284</v>
      </c>
      <c r="H39" t="s">
        <v>285</v>
      </c>
      <c r="I39">
        <f t="shared" si="1"/>
        <v>0.166736364364624</v>
      </c>
    </row>
    <row r="40" spans="1:9" x14ac:dyDescent="0.3">
      <c r="A40" t="s">
        <v>210</v>
      </c>
      <c r="B40">
        <v>5000</v>
      </c>
      <c r="C40">
        <v>20</v>
      </c>
      <c r="D40">
        <v>970</v>
      </c>
      <c r="E40">
        <v>969</v>
      </c>
      <c r="F40">
        <v>1989</v>
      </c>
      <c r="G40" t="s">
        <v>286</v>
      </c>
      <c r="H40" t="s">
        <v>287</v>
      </c>
      <c r="I40">
        <f t="shared" si="1"/>
        <v>0.186152458190917</v>
      </c>
    </row>
    <row r="41" spans="1:9" x14ac:dyDescent="0.3">
      <c r="A41" t="s">
        <v>210</v>
      </c>
      <c r="B41">
        <v>5000</v>
      </c>
      <c r="C41">
        <v>5</v>
      </c>
      <c r="D41">
        <v>970</v>
      </c>
      <c r="E41">
        <v>969</v>
      </c>
      <c r="F41">
        <v>1989</v>
      </c>
      <c r="G41" t="s">
        <v>288</v>
      </c>
      <c r="H41" t="s">
        <v>289</v>
      </c>
      <c r="I41">
        <f t="shared" si="1"/>
        <v>0.15722084045410101</v>
      </c>
    </row>
    <row r="42" spans="1:9" x14ac:dyDescent="0.3">
      <c r="A42" t="s">
        <v>210</v>
      </c>
      <c r="B42">
        <v>500</v>
      </c>
      <c r="C42">
        <v>1</v>
      </c>
      <c r="D42">
        <v>970</v>
      </c>
      <c r="E42">
        <v>956</v>
      </c>
      <c r="F42">
        <v>1716</v>
      </c>
      <c r="G42" t="s">
        <v>290</v>
      </c>
      <c r="H42" t="s">
        <v>291</v>
      </c>
      <c r="I42">
        <f t="shared" si="1"/>
        <v>1.9966125488281201E-2</v>
      </c>
    </row>
    <row r="43" spans="1:9" x14ac:dyDescent="0.3">
      <c r="A43" t="s">
        <v>210</v>
      </c>
      <c r="B43">
        <v>500</v>
      </c>
      <c r="C43">
        <v>10</v>
      </c>
      <c r="D43">
        <v>970</v>
      </c>
      <c r="E43">
        <v>969</v>
      </c>
      <c r="F43">
        <v>1989</v>
      </c>
      <c r="G43" t="s">
        <v>292</v>
      </c>
      <c r="H43" t="s">
        <v>293</v>
      </c>
      <c r="I43">
        <f t="shared" si="1"/>
        <v>1.5983581542968701E-2</v>
      </c>
    </row>
    <row r="44" spans="1:9" x14ac:dyDescent="0.3">
      <c r="A44" t="s">
        <v>210</v>
      </c>
      <c r="B44">
        <v>500</v>
      </c>
      <c r="C44">
        <v>15</v>
      </c>
      <c r="D44">
        <v>970</v>
      </c>
      <c r="E44">
        <v>958</v>
      </c>
      <c r="F44">
        <v>1638</v>
      </c>
      <c r="G44" t="s">
        <v>294</v>
      </c>
      <c r="H44" t="s">
        <v>295</v>
      </c>
      <c r="I44">
        <f t="shared" si="1"/>
        <v>1.5033960342407201E-2</v>
      </c>
    </row>
    <row r="45" spans="1:9" x14ac:dyDescent="0.3">
      <c r="A45" t="s">
        <v>210</v>
      </c>
      <c r="B45">
        <v>500</v>
      </c>
      <c r="C45">
        <v>20</v>
      </c>
      <c r="D45">
        <v>970</v>
      </c>
      <c r="E45">
        <v>958</v>
      </c>
      <c r="F45">
        <v>1638</v>
      </c>
      <c r="G45" t="s">
        <v>296</v>
      </c>
      <c r="H45" t="s">
        <v>297</v>
      </c>
      <c r="I45">
        <f t="shared" si="1"/>
        <v>1.8403768539428701E-2</v>
      </c>
    </row>
    <row r="46" spans="1:9" x14ac:dyDescent="0.3">
      <c r="A46" t="s">
        <v>210</v>
      </c>
      <c r="B46">
        <v>500</v>
      </c>
      <c r="C46">
        <v>5</v>
      </c>
      <c r="D46">
        <v>970</v>
      </c>
      <c r="E46">
        <v>969</v>
      </c>
      <c r="F46">
        <v>1989</v>
      </c>
      <c r="G46" t="s">
        <v>298</v>
      </c>
      <c r="H46" t="s">
        <v>299</v>
      </c>
      <c r="I46">
        <f t="shared" si="1"/>
        <v>1.87957286834716E-2</v>
      </c>
    </row>
    <row r="47" spans="1:9" x14ac:dyDescent="0.3">
      <c r="A47" t="s">
        <v>210</v>
      </c>
      <c r="B47">
        <v>50</v>
      </c>
      <c r="C47">
        <v>1</v>
      </c>
      <c r="D47">
        <v>970</v>
      </c>
      <c r="E47">
        <v>958</v>
      </c>
      <c r="F47">
        <v>1638</v>
      </c>
      <c r="G47" t="s">
        <v>300</v>
      </c>
      <c r="H47" t="s">
        <v>301</v>
      </c>
      <c r="I47">
        <f t="shared" si="1"/>
        <v>1.9991397857665998E-3</v>
      </c>
    </row>
    <row r="48" spans="1:9" x14ac:dyDescent="0.3">
      <c r="A48" t="s">
        <v>210</v>
      </c>
      <c r="B48">
        <v>50</v>
      </c>
      <c r="C48">
        <v>10</v>
      </c>
      <c r="D48">
        <v>970</v>
      </c>
      <c r="E48">
        <v>969</v>
      </c>
      <c r="F48">
        <v>1989</v>
      </c>
      <c r="G48" t="s">
        <v>302</v>
      </c>
      <c r="H48" t="s">
        <v>303</v>
      </c>
      <c r="I48">
        <f t="shared" si="1"/>
        <v>2.0153522491455E-3</v>
      </c>
    </row>
    <row r="49" spans="1:9" x14ac:dyDescent="0.3">
      <c r="A49" t="s">
        <v>210</v>
      </c>
      <c r="B49">
        <v>50</v>
      </c>
      <c r="C49">
        <v>15</v>
      </c>
      <c r="D49">
        <v>970</v>
      </c>
      <c r="E49">
        <v>958</v>
      </c>
      <c r="F49">
        <v>1638</v>
      </c>
      <c r="G49" t="s">
        <v>304</v>
      </c>
      <c r="H49" t="s">
        <v>305</v>
      </c>
      <c r="I49">
        <f t="shared" si="1"/>
        <v>2.0334720611572001E-3</v>
      </c>
    </row>
    <row r="50" spans="1:9" x14ac:dyDescent="0.3">
      <c r="A50" t="s">
        <v>210</v>
      </c>
      <c r="B50">
        <v>50</v>
      </c>
      <c r="C50">
        <v>20</v>
      </c>
      <c r="D50">
        <v>970</v>
      </c>
      <c r="E50">
        <v>969</v>
      </c>
      <c r="F50">
        <v>1989</v>
      </c>
      <c r="G50" t="s">
        <v>306</v>
      </c>
      <c r="H50" t="s">
        <v>307</v>
      </c>
      <c r="I50">
        <f t="shared" si="1"/>
        <v>2.0322799682617001E-3</v>
      </c>
    </row>
    <row r="51" spans="1:9" x14ac:dyDescent="0.3">
      <c r="A51" t="s">
        <v>210</v>
      </c>
      <c r="B51">
        <v>50</v>
      </c>
      <c r="C51">
        <v>5</v>
      </c>
      <c r="D51">
        <v>970</v>
      </c>
      <c r="E51">
        <v>960</v>
      </c>
      <c r="F51">
        <v>1560</v>
      </c>
      <c r="G51" t="s">
        <v>308</v>
      </c>
      <c r="H51" t="s">
        <v>309</v>
      </c>
      <c r="I51">
        <f t="shared" si="1"/>
        <v>2.0039081573485999E-3</v>
      </c>
    </row>
    <row r="57" spans="1:9" x14ac:dyDescent="0.3">
      <c r="A57" t="s">
        <v>103</v>
      </c>
      <c r="B57">
        <f>AVERAGE(results_3_fusionné[tps_nb])</f>
        <v>5.7445748424529945</v>
      </c>
    </row>
    <row r="58" spans="1:9" x14ac:dyDescent="0.3">
      <c r="A58" t="s">
        <v>104</v>
      </c>
      <c r="B58">
        <f>MAX(results_3_fusionné[Total profit])</f>
        <v>1989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1762.8</v>
      </c>
    </row>
    <row r="62" spans="1:9" x14ac:dyDescent="0.3">
      <c r="A62" s="2">
        <v>100</v>
      </c>
      <c r="B62">
        <v>1989</v>
      </c>
    </row>
    <row r="63" spans="1:9" x14ac:dyDescent="0.3">
      <c r="A63" s="2">
        <v>500</v>
      </c>
      <c r="B63">
        <v>1794</v>
      </c>
    </row>
    <row r="64" spans="1:9" x14ac:dyDescent="0.3">
      <c r="A64" s="2">
        <v>1000</v>
      </c>
      <c r="B64">
        <v>1989</v>
      </c>
    </row>
    <row r="65" spans="1:2" x14ac:dyDescent="0.3">
      <c r="A65" s="2">
        <v>5000</v>
      </c>
      <c r="B65">
        <v>1825.2</v>
      </c>
    </row>
    <row r="66" spans="1:2" x14ac:dyDescent="0.3">
      <c r="A66" s="2">
        <v>10000</v>
      </c>
      <c r="B66">
        <v>1809.6</v>
      </c>
    </row>
    <row r="67" spans="1:2" x14ac:dyDescent="0.3">
      <c r="A67" s="2">
        <v>50000</v>
      </c>
      <c r="B67">
        <v>1879.8</v>
      </c>
    </row>
    <row r="68" spans="1:2" x14ac:dyDescent="0.3">
      <c r="A68" s="2">
        <v>100000</v>
      </c>
      <c r="B68">
        <v>1911</v>
      </c>
    </row>
    <row r="69" spans="1:2" x14ac:dyDescent="0.3">
      <c r="A69" s="2">
        <v>500000</v>
      </c>
      <c r="B69">
        <v>1903.2</v>
      </c>
    </row>
    <row r="70" spans="1:2" x14ac:dyDescent="0.3">
      <c r="A70" s="2">
        <v>1000000</v>
      </c>
      <c r="B70">
        <v>1848.6</v>
      </c>
    </row>
    <row r="71" spans="1:2" x14ac:dyDescent="0.3">
      <c r="A71" s="2" t="s">
        <v>106</v>
      </c>
      <c r="B71">
        <v>1871.22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1817.4</v>
      </c>
    </row>
    <row r="79" spans="1:2" x14ac:dyDescent="0.3">
      <c r="A79" s="2">
        <v>5</v>
      </c>
      <c r="B79">
        <v>1875.9</v>
      </c>
    </row>
    <row r="80" spans="1:2" x14ac:dyDescent="0.3">
      <c r="A80" s="2">
        <v>10</v>
      </c>
      <c r="B80">
        <v>1887.6</v>
      </c>
    </row>
    <row r="81" spans="1:2" x14ac:dyDescent="0.3">
      <c r="A81" s="2">
        <v>15</v>
      </c>
      <c r="B81">
        <v>1848.6</v>
      </c>
    </row>
    <row r="82" spans="1:2" x14ac:dyDescent="0.3">
      <c r="A82" s="2">
        <v>20</v>
      </c>
      <c r="B82">
        <v>1926.6</v>
      </c>
    </row>
    <row r="83" spans="1:2" x14ac:dyDescent="0.3">
      <c r="A83" s="2" t="s">
        <v>106</v>
      </c>
      <c r="B83">
        <v>1871.22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98B2F-1ABD-4255-AF52-7539AAA4204A}">
  <dimension ref="A1:I83"/>
  <sheetViews>
    <sheetView topLeftCell="A67" workbookViewId="0">
      <selection activeCell="A57" sqref="A57:B58"/>
    </sheetView>
  </sheetViews>
  <sheetFormatPr baseColWidth="10" defaultRowHeight="14.4" x14ac:dyDescent="0.3"/>
  <cols>
    <col min="1" max="1" width="19.5546875" bestFit="1" customWidth="1"/>
    <col min="2" max="2" width="19.3320312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1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x14ac:dyDescent="0.3">
      <c r="A2" t="s">
        <v>310</v>
      </c>
      <c r="B2">
        <v>1000000</v>
      </c>
      <c r="C2">
        <v>1</v>
      </c>
      <c r="D2">
        <v>3177</v>
      </c>
      <c r="E2">
        <v>3164</v>
      </c>
      <c r="F2">
        <v>4524</v>
      </c>
      <c r="G2" t="s">
        <v>311</v>
      </c>
      <c r="H2" t="s">
        <v>312</v>
      </c>
      <c r="I2">
        <f>IF(ISNUMBER(G2), G2, SUBSTITUTE(G2, ".", ",")*1)</f>
        <v>213.02613663673401</v>
      </c>
    </row>
    <row r="3" spans="1:9" x14ac:dyDescent="0.3">
      <c r="A3" t="s">
        <v>310</v>
      </c>
      <c r="B3">
        <v>1000000</v>
      </c>
      <c r="C3">
        <v>10</v>
      </c>
      <c r="D3">
        <v>3177</v>
      </c>
      <c r="E3">
        <v>3170</v>
      </c>
      <c r="F3">
        <v>4290</v>
      </c>
      <c r="G3" t="s">
        <v>313</v>
      </c>
      <c r="H3" t="s">
        <v>314</v>
      </c>
      <c r="I3">
        <f t="shared" ref="I3:I33" si="0">IF(ISNUMBER(G3), G3, SUBSTITUTE(G3, ".", ",")*1)</f>
        <v>259.67955613136201</v>
      </c>
    </row>
    <row r="4" spans="1:9" x14ac:dyDescent="0.3">
      <c r="A4" t="s">
        <v>310</v>
      </c>
      <c r="B4">
        <v>1000000</v>
      </c>
      <c r="C4">
        <v>15</v>
      </c>
      <c r="D4">
        <v>3177</v>
      </c>
      <c r="E4">
        <v>3162</v>
      </c>
      <c r="F4">
        <v>4602</v>
      </c>
      <c r="G4" t="s">
        <v>315</v>
      </c>
      <c r="H4" t="s">
        <v>316</v>
      </c>
      <c r="I4">
        <f t="shared" si="0"/>
        <v>260.35935616493202</v>
      </c>
    </row>
    <row r="5" spans="1:9" x14ac:dyDescent="0.3">
      <c r="A5" t="s">
        <v>310</v>
      </c>
      <c r="B5">
        <v>1000000</v>
      </c>
      <c r="C5">
        <v>20</v>
      </c>
      <c r="D5">
        <v>3177</v>
      </c>
      <c r="E5">
        <v>3162</v>
      </c>
      <c r="F5">
        <v>4602</v>
      </c>
      <c r="G5" t="s">
        <v>317</v>
      </c>
      <c r="H5" t="s">
        <v>318</v>
      </c>
      <c r="I5">
        <f t="shared" si="0"/>
        <v>268.42133450508101</v>
      </c>
    </row>
    <row r="6" spans="1:9" x14ac:dyDescent="0.3">
      <c r="A6" t="s">
        <v>310</v>
      </c>
      <c r="B6">
        <v>1000000</v>
      </c>
      <c r="C6">
        <v>5</v>
      </c>
      <c r="D6">
        <v>3177</v>
      </c>
      <c r="E6">
        <v>3172</v>
      </c>
      <c r="F6">
        <v>4212</v>
      </c>
      <c r="G6" t="s">
        <v>319</v>
      </c>
      <c r="H6" t="s">
        <v>320</v>
      </c>
      <c r="I6">
        <f t="shared" si="0"/>
        <v>239.145867347717</v>
      </c>
    </row>
    <row r="7" spans="1:9" x14ac:dyDescent="0.3">
      <c r="A7" t="s">
        <v>310</v>
      </c>
      <c r="B7">
        <v>100000</v>
      </c>
      <c r="C7">
        <v>1</v>
      </c>
      <c r="D7">
        <v>3177</v>
      </c>
      <c r="E7">
        <v>3174</v>
      </c>
      <c r="F7">
        <v>4134</v>
      </c>
      <c r="G7" t="s">
        <v>321</v>
      </c>
      <c r="H7" t="s">
        <v>322</v>
      </c>
      <c r="I7">
        <f t="shared" si="0"/>
        <v>25.416838884353599</v>
      </c>
    </row>
    <row r="8" spans="1:9" x14ac:dyDescent="0.3">
      <c r="A8" t="s">
        <v>310</v>
      </c>
      <c r="B8">
        <v>100000</v>
      </c>
      <c r="C8">
        <v>10</v>
      </c>
      <c r="D8">
        <v>3177</v>
      </c>
      <c r="E8">
        <v>3173</v>
      </c>
      <c r="F8">
        <v>4953</v>
      </c>
      <c r="G8" t="s">
        <v>323</v>
      </c>
      <c r="H8" t="s">
        <v>324</v>
      </c>
      <c r="I8">
        <f t="shared" si="0"/>
        <v>25.507731199264501</v>
      </c>
    </row>
    <row r="9" spans="1:9" x14ac:dyDescent="0.3">
      <c r="A9" t="s">
        <v>310</v>
      </c>
      <c r="B9">
        <v>100000</v>
      </c>
      <c r="C9">
        <v>15</v>
      </c>
      <c r="D9">
        <v>3177</v>
      </c>
      <c r="E9">
        <v>3164</v>
      </c>
      <c r="F9">
        <v>4524</v>
      </c>
      <c r="G9" t="s">
        <v>325</v>
      </c>
      <c r="H9" t="s">
        <v>326</v>
      </c>
      <c r="I9">
        <f t="shared" si="0"/>
        <v>24.171571731567301</v>
      </c>
    </row>
    <row r="10" spans="1:9" x14ac:dyDescent="0.3">
      <c r="A10" t="s">
        <v>310</v>
      </c>
      <c r="B10">
        <v>100000</v>
      </c>
      <c r="C10">
        <v>20</v>
      </c>
      <c r="D10">
        <v>3177</v>
      </c>
      <c r="E10">
        <v>3162</v>
      </c>
      <c r="F10">
        <v>4602</v>
      </c>
      <c r="G10" t="s">
        <v>327</v>
      </c>
      <c r="H10" t="s">
        <v>328</v>
      </c>
      <c r="I10">
        <f t="shared" si="0"/>
        <v>24.583228111267001</v>
      </c>
    </row>
    <row r="11" spans="1:9" x14ac:dyDescent="0.3">
      <c r="A11" t="s">
        <v>310</v>
      </c>
      <c r="B11">
        <v>100000</v>
      </c>
      <c r="C11">
        <v>5</v>
      </c>
      <c r="D11">
        <v>3177</v>
      </c>
      <c r="E11">
        <v>3160</v>
      </c>
      <c r="F11">
        <v>4680</v>
      </c>
      <c r="G11" t="s">
        <v>329</v>
      </c>
      <c r="H11" t="s">
        <v>330</v>
      </c>
      <c r="I11">
        <f t="shared" si="0"/>
        <v>29.871075630187899</v>
      </c>
    </row>
    <row r="12" spans="1:9" x14ac:dyDescent="0.3">
      <c r="A12" t="s">
        <v>310</v>
      </c>
      <c r="B12">
        <v>10000</v>
      </c>
      <c r="C12">
        <v>1</v>
      </c>
      <c r="D12">
        <v>3177</v>
      </c>
      <c r="E12">
        <v>3162</v>
      </c>
      <c r="F12">
        <v>4602</v>
      </c>
      <c r="G12" t="s">
        <v>331</v>
      </c>
      <c r="H12" t="s">
        <v>332</v>
      </c>
      <c r="I12">
        <f t="shared" si="0"/>
        <v>2.5064721107482901</v>
      </c>
    </row>
    <row r="13" spans="1:9" x14ac:dyDescent="0.3">
      <c r="A13" t="s">
        <v>310</v>
      </c>
      <c r="B13">
        <v>10000</v>
      </c>
      <c r="C13">
        <v>10</v>
      </c>
      <c r="D13">
        <v>3177</v>
      </c>
      <c r="E13">
        <v>3168</v>
      </c>
      <c r="F13">
        <v>4368</v>
      </c>
      <c r="G13" t="s">
        <v>333</v>
      </c>
      <c r="H13" t="s">
        <v>334</v>
      </c>
      <c r="I13">
        <f t="shared" si="0"/>
        <v>2.1455841064453098</v>
      </c>
    </row>
    <row r="14" spans="1:9" x14ac:dyDescent="0.3">
      <c r="A14" t="s">
        <v>310</v>
      </c>
      <c r="B14">
        <v>10000</v>
      </c>
      <c r="C14">
        <v>15</v>
      </c>
      <c r="D14">
        <v>3177</v>
      </c>
      <c r="E14">
        <v>3164</v>
      </c>
      <c r="F14">
        <v>4524</v>
      </c>
      <c r="G14" t="s">
        <v>335</v>
      </c>
      <c r="H14" t="s">
        <v>336</v>
      </c>
      <c r="I14">
        <f t="shared" si="0"/>
        <v>2.5084884166717498</v>
      </c>
    </row>
    <row r="15" spans="1:9" x14ac:dyDescent="0.3">
      <c r="A15" t="s">
        <v>310</v>
      </c>
      <c r="B15">
        <v>10000</v>
      </c>
      <c r="C15">
        <v>20</v>
      </c>
      <c r="D15">
        <v>3177</v>
      </c>
      <c r="E15">
        <v>3162</v>
      </c>
      <c r="F15">
        <v>4602</v>
      </c>
      <c r="G15" t="s">
        <v>337</v>
      </c>
      <c r="H15" t="s">
        <v>338</v>
      </c>
      <c r="I15">
        <f t="shared" si="0"/>
        <v>2.6093401908874498</v>
      </c>
    </row>
    <row r="16" spans="1:9" x14ac:dyDescent="0.3">
      <c r="A16" t="s">
        <v>310</v>
      </c>
      <c r="B16">
        <v>10000</v>
      </c>
      <c r="C16">
        <v>5</v>
      </c>
      <c r="D16">
        <v>3177</v>
      </c>
      <c r="E16">
        <v>3164</v>
      </c>
      <c r="F16">
        <v>4524</v>
      </c>
      <c r="G16" t="s">
        <v>339</v>
      </c>
      <c r="H16" t="s">
        <v>340</v>
      </c>
      <c r="I16">
        <f t="shared" si="0"/>
        <v>2.3118195533752401</v>
      </c>
    </row>
    <row r="17" spans="1:9" x14ac:dyDescent="0.3">
      <c r="A17" t="s">
        <v>310</v>
      </c>
      <c r="B17">
        <v>1000</v>
      </c>
      <c r="C17">
        <v>1</v>
      </c>
      <c r="D17">
        <v>3177</v>
      </c>
      <c r="E17">
        <v>3169</v>
      </c>
      <c r="F17">
        <v>5109</v>
      </c>
      <c r="G17" t="s">
        <v>341</v>
      </c>
      <c r="H17" t="s">
        <v>342</v>
      </c>
      <c r="I17">
        <f t="shared" si="0"/>
        <v>0.234714269638061</v>
      </c>
    </row>
    <row r="18" spans="1:9" x14ac:dyDescent="0.3">
      <c r="A18" t="s">
        <v>310</v>
      </c>
      <c r="B18">
        <v>1000</v>
      </c>
      <c r="C18">
        <v>10</v>
      </c>
      <c r="D18">
        <v>3177</v>
      </c>
      <c r="E18">
        <v>3162</v>
      </c>
      <c r="F18">
        <v>4602</v>
      </c>
      <c r="G18" t="s">
        <v>343</v>
      </c>
      <c r="H18" t="s">
        <v>344</v>
      </c>
      <c r="I18">
        <f t="shared" si="0"/>
        <v>0.26364707946777299</v>
      </c>
    </row>
    <row r="19" spans="1:9" x14ac:dyDescent="0.3">
      <c r="A19" t="s">
        <v>310</v>
      </c>
      <c r="B19">
        <v>1000</v>
      </c>
      <c r="C19">
        <v>15</v>
      </c>
      <c r="D19">
        <v>3177</v>
      </c>
      <c r="E19">
        <v>3175</v>
      </c>
      <c r="F19">
        <v>4875</v>
      </c>
      <c r="G19" t="s">
        <v>345</v>
      </c>
      <c r="H19" t="s">
        <v>346</v>
      </c>
      <c r="I19">
        <f t="shared" si="0"/>
        <v>0.230627536773681</v>
      </c>
    </row>
    <row r="20" spans="1:9" x14ac:dyDescent="0.3">
      <c r="A20" t="s">
        <v>310</v>
      </c>
      <c r="B20">
        <v>1000</v>
      </c>
      <c r="C20">
        <v>20</v>
      </c>
      <c r="D20">
        <v>3177</v>
      </c>
      <c r="E20">
        <v>3171</v>
      </c>
      <c r="F20">
        <v>5031</v>
      </c>
      <c r="G20" t="s">
        <v>347</v>
      </c>
      <c r="H20" t="s">
        <v>348</v>
      </c>
      <c r="I20">
        <f t="shared" si="0"/>
        <v>0.25091242790222101</v>
      </c>
    </row>
    <row r="21" spans="1:9" x14ac:dyDescent="0.3">
      <c r="A21" t="s">
        <v>310</v>
      </c>
      <c r="B21">
        <v>1000</v>
      </c>
      <c r="C21">
        <v>5</v>
      </c>
      <c r="D21">
        <v>3177</v>
      </c>
      <c r="E21">
        <v>3160</v>
      </c>
      <c r="F21">
        <v>4680</v>
      </c>
      <c r="G21" t="s">
        <v>349</v>
      </c>
      <c r="H21" t="s">
        <v>350</v>
      </c>
      <c r="I21">
        <f t="shared" si="0"/>
        <v>0.23476743698120101</v>
      </c>
    </row>
    <row r="22" spans="1:9" x14ac:dyDescent="0.3">
      <c r="A22" t="s">
        <v>310</v>
      </c>
      <c r="B22">
        <v>100</v>
      </c>
      <c r="C22">
        <v>1</v>
      </c>
      <c r="D22">
        <v>3177</v>
      </c>
      <c r="E22">
        <v>3175</v>
      </c>
      <c r="F22">
        <v>4875</v>
      </c>
      <c r="G22" t="s">
        <v>351</v>
      </c>
      <c r="H22" t="s">
        <v>352</v>
      </c>
      <c r="I22">
        <f t="shared" si="0"/>
        <v>2.7999639511108398E-2</v>
      </c>
    </row>
    <row r="23" spans="1:9" x14ac:dyDescent="0.3">
      <c r="A23" t="s">
        <v>310</v>
      </c>
      <c r="B23">
        <v>100</v>
      </c>
      <c r="C23">
        <v>10</v>
      </c>
      <c r="D23">
        <v>3177</v>
      </c>
      <c r="E23">
        <v>3162</v>
      </c>
      <c r="F23">
        <v>4602</v>
      </c>
      <c r="G23" t="s">
        <v>353</v>
      </c>
      <c r="H23" t="s">
        <v>354</v>
      </c>
      <c r="I23">
        <f t="shared" si="0"/>
        <v>2.3975372314453101E-2</v>
      </c>
    </row>
    <row r="24" spans="1:9" x14ac:dyDescent="0.3">
      <c r="A24" t="s">
        <v>310</v>
      </c>
      <c r="B24">
        <v>100</v>
      </c>
      <c r="C24">
        <v>15</v>
      </c>
      <c r="D24">
        <v>3177</v>
      </c>
      <c r="E24">
        <v>3171</v>
      </c>
      <c r="F24">
        <v>5031</v>
      </c>
      <c r="G24" t="s">
        <v>355</v>
      </c>
      <c r="H24" t="s">
        <v>356</v>
      </c>
      <c r="I24">
        <f t="shared" si="0"/>
        <v>2.9999971389770501E-2</v>
      </c>
    </row>
    <row r="25" spans="1:9" x14ac:dyDescent="0.3">
      <c r="A25" t="s">
        <v>310</v>
      </c>
      <c r="B25">
        <v>100</v>
      </c>
      <c r="C25">
        <v>20</v>
      </c>
      <c r="D25">
        <v>3177</v>
      </c>
      <c r="E25">
        <v>3171</v>
      </c>
      <c r="F25">
        <v>5031</v>
      </c>
      <c r="G25" t="s">
        <v>357</v>
      </c>
      <c r="H25" t="s">
        <v>358</v>
      </c>
      <c r="I25">
        <f t="shared" si="0"/>
        <v>2.4042367935180602E-2</v>
      </c>
    </row>
    <row r="26" spans="1:9" x14ac:dyDescent="0.3">
      <c r="A26" t="s">
        <v>310</v>
      </c>
      <c r="B26">
        <v>100</v>
      </c>
      <c r="C26">
        <v>5</v>
      </c>
      <c r="D26">
        <v>3177</v>
      </c>
      <c r="E26">
        <v>3169</v>
      </c>
      <c r="F26">
        <v>5109</v>
      </c>
      <c r="G26" t="s">
        <v>359</v>
      </c>
      <c r="H26" t="s">
        <v>360</v>
      </c>
      <c r="I26">
        <f t="shared" si="0"/>
        <v>2.90296077728271E-2</v>
      </c>
    </row>
    <row r="27" spans="1:9" x14ac:dyDescent="0.3">
      <c r="A27" t="s">
        <v>310</v>
      </c>
      <c r="B27">
        <v>500000</v>
      </c>
      <c r="C27">
        <v>1</v>
      </c>
      <c r="D27">
        <v>3177</v>
      </c>
      <c r="E27">
        <v>3177</v>
      </c>
      <c r="F27">
        <v>4797</v>
      </c>
      <c r="G27" t="s">
        <v>361</v>
      </c>
      <c r="H27" t="s">
        <v>362</v>
      </c>
      <c r="I27">
        <f t="shared" si="0"/>
        <v>99.015268087387</v>
      </c>
    </row>
    <row r="28" spans="1:9" x14ac:dyDescent="0.3">
      <c r="A28" t="s">
        <v>310</v>
      </c>
      <c r="B28">
        <v>500000</v>
      </c>
      <c r="C28">
        <v>10</v>
      </c>
      <c r="D28">
        <v>3177</v>
      </c>
      <c r="E28">
        <v>3162</v>
      </c>
      <c r="F28">
        <v>4602</v>
      </c>
      <c r="G28" t="s">
        <v>363</v>
      </c>
      <c r="H28" t="s">
        <v>364</v>
      </c>
      <c r="I28">
        <f t="shared" si="0"/>
        <v>143.12851238250701</v>
      </c>
    </row>
    <row r="29" spans="1:9" x14ac:dyDescent="0.3">
      <c r="A29" t="s">
        <v>310</v>
      </c>
      <c r="B29">
        <v>500000</v>
      </c>
      <c r="C29">
        <v>15</v>
      </c>
      <c r="D29">
        <v>3177</v>
      </c>
      <c r="E29">
        <v>3174</v>
      </c>
      <c r="F29">
        <v>4134</v>
      </c>
      <c r="G29" t="s">
        <v>365</v>
      </c>
      <c r="H29" t="s">
        <v>366</v>
      </c>
      <c r="I29">
        <f t="shared" si="0"/>
        <v>151.146419525146</v>
      </c>
    </row>
    <row r="30" spans="1:9" x14ac:dyDescent="0.3">
      <c r="A30" t="s">
        <v>310</v>
      </c>
      <c r="B30">
        <v>500000</v>
      </c>
      <c r="C30">
        <v>20</v>
      </c>
      <c r="D30">
        <v>3177</v>
      </c>
      <c r="E30">
        <v>3162</v>
      </c>
      <c r="F30">
        <v>4602</v>
      </c>
      <c r="G30" t="s">
        <v>367</v>
      </c>
      <c r="H30" t="s">
        <v>368</v>
      </c>
      <c r="I30">
        <f t="shared" si="0"/>
        <v>125.42586922645501</v>
      </c>
    </row>
    <row r="31" spans="1:9" x14ac:dyDescent="0.3">
      <c r="A31" t="s">
        <v>310</v>
      </c>
      <c r="B31">
        <v>500000</v>
      </c>
      <c r="C31">
        <v>5</v>
      </c>
      <c r="D31">
        <v>3177</v>
      </c>
      <c r="E31">
        <v>3162</v>
      </c>
      <c r="F31">
        <v>4602</v>
      </c>
      <c r="G31" t="s">
        <v>369</v>
      </c>
      <c r="H31" t="s">
        <v>370</v>
      </c>
      <c r="I31">
        <f t="shared" si="0"/>
        <v>133.349657297134</v>
      </c>
    </row>
    <row r="32" spans="1:9" x14ac:dyDescent="0.3">
      <c r="A32" t="s">
        <v>310</v>
      </c>
      <c r="B32">
        <v>50000</v>
      </c>
      <c r="C32">
        <v>1</v>
      </c>
      <c r="D32">
        <v>3177</v>
      </c>
      <c r="E32">
        <v>3170</v>
      </c>
      <c r="F32">
        <v>4290</v>
      </c>
      <c r="G32" t="s">
        <v>371</v>
      </c>
      <c r="H32" t="s">
        <v>372</v>
      </c>
      <c r="I32">
        <f t="shared" si="0"/>
        <v>11.113141298294</v>
      </c>
    </row>
    <row r="33" spans="1:9" x14ac:dyDescent="0.3">
      <c r="A33" t="s">
        <v>310</v>
      </c>
      <c r="B33">
        <v>50000</v>
      </c>
      <c r="C33">
        <v>10</v>
      </c>
      <c r="D33">
        <v>3177</v>
      </c>
      <c r="E33">
        <v>3171</v>
      </c>
      <c r="F33">
        <v>5031</v>
      </c>
      <c r="G33" t="s">
        <v>373</v>
      </c>
      <c r="H33" t="s">
        <v>374</v>
      </c>
      <c r="I33">
        <f t="shared" si="0"/>
        <v>11.993535518646199</v>
      </c>
    </row>
    <row r="34" spans="1:9" x14ac:dyDescent="0.3">
      <c r="A34" t="s">
        <v>310</v>
      </c>
      <c r="B34">
        <v>50000</v>
      </c>
      <c r="C34">
        <v>15</v>
      </c>
      <c r="D34">
        <v>3177</v>
      </c>
      <c r="E34">
        <v>3168</v>
      </c>
      <c r="F34">
        <v>4368</v>
      </c>
      <c r="G34" t="s">
        <v>375</v>
      </c>
      <c r="H34" t="s">
        <v>376</v>
      </c>
      <c r="I34">
        <f t="shared" ref="I34:I51" si="1">IF(ISNUMBER(G34), G34, SUBSTITUTE(G34, ".", ",")*1)</f>
        <v>15.071959257125799</v>
      </c>
    </row>
    <row r="35" spans="1:9" x14ac:dyDescent="0.3">
      <c r="A35" t="s">
        <v>310</v>
      </c>
      <c r="B35">
        <v>50000</v>
      </c>
      <c r="C35">
        <v>20</v>
      </c>
      <c r="D35">
        <v>3177</v>
      </c>
      <c r="E35">
        <v>3162</v>
      </c>
      <c r="F35">
        <v>4602</v>
      </c>
      <c r="G35" t="s">
        <v>377</v>
      </c>
      <c r="H35" t="s">
        <v>378</v>
      </c>
      <c r="I35">
        <f t="shared" si="1"/>
        <v>13.1356954574584</v>
      </c>
    </row>
    <row r="36" spans="1:9" x14ac:dyDescent="0.3">
      <c r="A36" t="s">
        <v>310</v>
      </c>
      <c r="B36">
        <v>50000</v>
      </c>
      <c r="C36">
        <v>5</v>
      </c>
      <c r="D36">
        <v>3177</v>
      </c>
      <c r="E36">
        <v>3166</v>
      </c>
      <c r="F36">
        <v>4446</v>
      </c>
      <c r="G36" t="s">
        <v>379</v>
      </c>
      <c r="H36" t="s">
        <v>380</v>
      </c>
      <c r="I36">
        <f t="shared" si="1"/>
        <v>11.1153483390808</v>
      </c>
    </row>
    <row r="37" spans="1:9" x14ac:dyDescent="0.3">
      <c r="A37" t="s">
        <v>310</v>
      </c>
      <c r="B37">
        <v>5000</v>
      </c>
      <c r="C37">
        <v>1</v>
      </c>
      <c r="D37">
        <v>3177</v>
      </c>
      <c r="E37">
        <v>3177</v>
      </c>
      <c r="F37">
        <v>4797</v>
      </c>
      <c r="G37" t="s">
        <v>381</v>
      </c>
      <c r="H37" t="s">
        <v>382</v>
      </c>
      <c r="I37">
        <f t="shared" si="1"/>
        <v>1.21193099021911</v>
      </c>
    </row>
    <row r="38" spans="1:9" x14ac:dyDescent="0.3">
      <c r="A38" t="s">
        <v>310</v>
      </c>
      <c r="B38">
        <v>5000</v>
      </c>
      <c r="C38">
        <v>10</v>
      </c>
      <c r="D38">
        <v>3177</v>
      </c>
      <c r="E38">
        <v>3173</v>
      </c>
      <c r="F38">
        <v>4953</v>
      </c>
      <c r="G38" t="s">
        <v>383</v>
      </c>
      <c r="H38" t="s">
        <v>384</v>
      </c>
      <c r="I38">
        <f t="shared" si="1"/>
        <v>1.4484531879425</v>
      </c>
    </row>
    <row r="39" spans="1:9" x14ac:dyDescent="0.3">
      <c r="A39" t="s">
        <v>310</v>
      </c>
      <c r="B39">
        <v>5000</v>
      </c>
      <c r="C39">
        <v>15</v>
      </c>
      <c r="D39">
        <v>3177</v>
      </c>
      <c r="E39">
        <v>3160</v>
      </c>
      <c r="F39">
        <v>4680</v>
      </c>
      <c r="G39" t="s">
        <v>385</v>
      </c>
      <c r="H39" t="s">
        <v>386</v>
      </c>
      <c r="I39">
        <f t="shared" si="1"/>
        <v>1.2206552028655999</v>
      </c>
    </row>
    <row r="40" spans="1:9" x14ac:dyDescent="0.3">
      <c r="A40" t="s">
        <v>310</v>
      </c>
      <c r="B40">
        <v>5000</v>
      </c>
      <c r="C40">
        <v>20</v>
      </c>
      <c r="D40">
        <v>3177</v>
      </c>
      <c r="E40">
        <v>3177</v>
      </c>
      <c r="F40">
        <v>4797</v>
      </c>
      <c r="G40" t="s">
        <v>387</v>
      </c>
      <c r="H40" t="s">
        <v>388</v>
      </c>
      <c r="I40">
        <f t="shared" si="1"/>
        <v>1.2179751396179199</v>
      </c>
    </row>
    <row r="41" spans="1:9" x14ac:dyDescent="0.3">
      <c r="A41" t="s">
        <v>310</v>
      </c>
      <c r="B41">
        <v>5000</v>
      </c>
      <c r="C41">
        <v>5</v>
      </c>
      <c r="D41">
        <v>3177</v>
      </c>
      <c r="E41">
        <v>3177</v>
      </c>
      <c r="F41">
        <v>4797</v>
      </c>
      <c r="G41" t="s">
        <v>389</v>
      </c>
      <c r="H41" t="s">
        <v>390</v>
      </c>
      <c r="I41">
        <f t="shared" si="1"/>
        <v>1.3949222564697199</v>
      </c>
    </row>
    <row r="42" spans="1:9" x14ac:dyDescent="0.3">
      <c r="A42" t="s">
        <v>310</v>
      </c>
      <c r="B42">
        <v>500</v>
      </c>
      <c r="C42">
        <v>1</v>
      </c>
      <c r="D42">
        <v>3177</v>
      </c>
      <c r="E42">
        <v>3160</v>
      </c>
      <c r="F42">
        <v>4680</v>
      </c>
      <c r="G42" t="s">
        <v>391</v>
      </c>
      <c r="H42" t="s">
        <v>392</v>
      </c>
      <c r="I42">
        <f t="shared" si="1"/>
        <v>0.10751390457153299</v>
      </c>
    </row>
    <row r="43" spans="1:9" x14ac:dyDescent="0.3">
      <c r="A43" t="s">
        <v>310</v>
      </c>
      <c r="B43">
        <v>500</v>
      </c>
      <c r="C43">
        <v>10</v>
      </c>
      <c r="D43">
        <v>3177</v>
      </c>
      <c r="E43">
        <v>3175</v>
      </c>
      <c r="F43">
        <v>4875</v>
      </c>
      <c r="G43" t="s">
        <v>393</v>
      </c>
      <c r="H43" t="s">
        <v>394</v>
      </c>
      <c r="I43">
        <f t="shared" si="1"/>
        <v>0.121551513671875</v>
      </c>
    </row>
    <row r="44" spans="1:9" x14ac:dyDescent="0.3">
      <c r="A44" t="s">
        <v>310</v>
      </c>
      <c r="B44">
        <v>500</v>
      </c>
      <c r="C44">
        <v>15</v>
      </c>
      <c r="D44">
        <v>3177</v>
      </c>
      <c r="E44">
        <v>3173</v>
      </c>
      <c r="F44">
        <v>4953</v>
      </c>
      <c r="G44" t="s">
        <v>395</v>
      </c>
      <c r="H44" t="s">
        <v>396</v>
      </c>
      <c r="I44">
        <f t="shared" si="1"/>
        <v>0.13614010810852001</v>
      </c>
    </row>
    <row r="45" spans="1:9" x14ac:dyDescent="0.3">
      <c r="A45" t="s">
        <v>310</v>
      </c>
      <c r="B45">
        <v>500</v>
      </c>
      <c r="C45">
        <v>20</v>
      </c>
      <c r="D45">
        <v>3177</v>
      </c>
      <c r="E45">
        <v>3171</v>
      </c>
      <c r="F45">
        <v>5031</v>
      </c>
      <c r="G45" t="s">
        <v>397</v>
      </c>
      <c r="H45" t="s">
        <v>398</v>
      </c>
      <c r="I45">
        <f t="shared" si="1"/>
        <v>0.12754201889038</v>
      </c>
    </row>
    <row r="46" spans="1:9" x14ac:dyDescent="0.3">
      <c r="A46" t="s">
        <v>310</v>
      </c>
      <c r="B46">
        <v>500</v>
      </c>
      <c r="C46">
        <v>5</v>
      </c>
      <c r="D46">
        <v>3177</v>
      </c>
      <c r="E46">
        <v>3171</v>
      </c>
      <c r="F46">
        <v>5031</v>
      </c>
      <c r="G46" t="s">
        <v>399</v>
      </c>
      <c r="H46" t="s">
        <v>400</v>
      </c>
      <c r="I46">
        <f t="shared" si="1"/>
        <v>0.121034383773803</v>
      </c>
    </row>
    <row r="47" spans="1:9" x14ac:dyDescent="0.3">
      <c r="A47" t="s">
        <v>310</v>
      </c>
      <c r="B47">
        <v>50</v>
      </c>
      <c r="C47">
        <v>1</v>
      </c>
      <c r="D47">
        <v>3177</v>
      </c>
      <c r="E47">
        <v>3177</v>
      </c>
      <c r="F47">
        <v>4797</v>
      </c>
      <c r="G47" t="s">
        <v>401</v>
      </c>
      <c r="H47" t="s">
        <v>402</v>
      </c>
      <c r="I47">
        <f t="shared" si="1"/>
        <v>1.1998176574707E-2</v>
      </c>
    </row>
    <row r="48" spans="1:9" x14ac:dyDescent="0.3">
      <c r="A48" t="s">
        <v>310</v>
      </c>
      <c r="B48">
        <v>50</v>
      </c>
      <c r="C48">
        <v>10</v>
      </c>
      <c r="D48">
        <v>3177</v>
      </c>
      <c r="E48">
        <v>3173</v>
      </c>
      <c r="F48">
        <v>4953</v>
      </c>
      <c r="G48" t="s">
        <v>403</v>
      </c>
      <c r="H48" t="s">
        <v>404</v>
      </c>
      <c r="I48">
        <f t="shared" si="1"/>
        <v>1.5033245086669899E-2</v>
      </c>
    </row>
    <row r="49" spans="1:9" x14ac:dyDescent="0.3">
      <c r="A49" t="s">
        <v>310</v>
      </c>
      <c r="B49">
        <v>50</v>
      </c>
      <c r="C49">
        <v>15</v>
      </c>
      <c r="D49">
        <v>3177</v>
      </c>
      <c r="E49">
        <v>3169</v>
      </c>
      <c r="F49">
        <v>5109</v>
      </c>
      <c r="G49" t="s">
        <v>405</v>
      </c>
      <c r="H49" t="s">
        <v>406</v>
      </c>
      <c r="I49">
        <f t="shared" si="1"/>
        <v>1.70750617980957E-2</v>
      </c>
    </row>
    <row r="50" spans="1:9" x14ac:dyDescent="0.3">
      <c r="A50" t="s">
        <v>310</v>
      </c>
      <c r="B50">
        <v>50</v>
      </c>
      <c r="C50">
        <v>20</v>
      </c>
      <c r="D50">
        <v>3177</v>
      </c>
      <c r="E50">
        <v>3175</v>
      </c>
      <c r="F50">
        <v>4875</v>
      </c>
      <c r="G50" t="s">
        <v>407</v>
      </c>
      <c r="H50" t="s">
        <v>408</v>
      </c>
      <c r="I50">
        <f t="shared" si="1"/>
        <v>1.39977931976318E-2</v>
      </c>
    </row>
    <row r="51" spans="1:9" x14ac:dyDescent="0.3">
      <c r="A51" t="s">
        <v>310</v>
      </c>
      <c r="B51">
        <v>50</v>
      </c>
      <c r="C51">
        <v>5</v>
      </c>
      <c r="D51">
        <v>3177</v>
      </c>
      <c r="E51">
        <v>3175</v>
      </c>
      <c r="F51">
        <v>4875</v>
      </c>
      <c r="G51" t="s">
        <v>409</v>
      </c>
      <c r="H51" t="s">
        <v>410</v>
      </c>
      <c r="I51">
        <f t="shared" si="1"/>
        <v>1.3034820556640601E-2</v>
      </c>
    </row>
    <row r="57" spans="1:9" x14ac:dyDescent="0.3">
      <c r="A57" t="s">
        <v>103</v>
      </c>
      <c r="B57">
        <f>AVERAGE(results_4_fusionné[tps_nb])</f>
        <v>42.1057676124572</v>
      </c>
    </row>
    <row r="58" spans="1:9" x14ac:dyDescent="0.3">
      <c r="A58" t="s">
        <v>104</v>
      </c>
      <c r="B58">
        <f>MAX(results_4_fusionné[Total profit])</f>
        <v>5109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4921.8</v>
      </c>
    </row>
    <row r="62" spans="1:9" x14ac:dyDescent="0.3">
      <c r="A62" s="2">
        <v>100</v>
      </c>
      <c r="B62">
        <v>4929.6000000000004</v>
      </c>
    </row>
    <row r="63" spans="1:9" x14ac:dyDescent="0.3">
      <c r="A63" s="2">
        <v>500</v>
      </c>
      <c r="B63">
        <v>4914</v>
      </c>
    </row>
    <row r="64" spans="1:9" x14ac:dyDescent="0.3">
      <c r="A64" s="2">
        <v>1000</v>
      </c>
      <c r="B64">
        <v>4859.3999999999996</v>
      </c>
    </row>
    <row r="65" spans="1:2" x14ac:dyDescent="0.3">
      <c r="A65" s="2">
        <v>5000</v>
      </c>
      <c r="B65">
        <v>4804.8</v>
      </c>
    </row>
    <row r="66" spans="1:2" x14ac:dyDescent="0.3">
      <c r="A66" s="2">
        <v>10000</v>
      </c>
      <c r="B66">
        <v>4524</v>
      </c>
    </row>
    <row r="67" spans="1:2" x14ac:dyDescent="0.3">
      <c r="A67" s="2">
        <v>50000</v>
      </c>
      <c r="B67">
        <v>4547.3999999999996</v>
      </c>
    </row>
    <row r="68" spans="1:2" x14ac:dyDescent="0.3">
      <c r="A68" s="2">
        <v>100000</v>
      </c>
      <c r="B68">
        <v>4578.6000000000004</v>
      </c>
    </row>
    <row r="69" spans="1:2" x14ac:dyDescent="0.3">
      <c r="A69" s="2">
        <v>500000</v>
      </c>
      <c r="B69">
        <v>4547.3999999999996</v>
      </c>
    </row>
    <row r="70" spans="1:2" x14ac:dyDescent="0.3">
      <c r="A70" s="2">
        <v>1000000</v>
      </c>
      <c r="B70">
        <v>4446</v>
      </c>
    </row>
    <row r="71" spans="1:2" x14ac:dyDescent="0.3">
      <c r="A71" s="2" t="s">
        <v>106</v>
      </c>
      <c r="B71">
        <v>4707.3</v>
      </c>
    </row>
    <row r="77" spans="1:2" x14ac:dyDescent="0.3">
      <c r="A77" s="1" t="s">
        <v>105</v>
      </c>
      <c r="B77" t="s">
        <v>107</v>
      </c>
    </row>
    <row r="78" spans="1:2" x14ac:dyDescent="0.3">
      <c r="A78" s="2">
        <v>1</v>
      </c>
      <c r="B78">
        <v>46605</v>
      </c>
    </row>
    <row r="79" spans="1:2" x14ac:dyDescent="0.3">
      <c r="A79" s="2">
        <v>5</v>
      </c>
      <c r="B79">
        <v>46956</v>
      </c>
    </row>
    <row r="80" spans="1:2" x14ac:dyDescent="0.3">
      <c r="A80" s="2">
        <v>10</v>
      </c>
      <c r="B80">
        <v>47229</v>
      </c>
    </row>
    <row r="81" spans="1:2" x14ac:dyDescent="0.3">
      <c r="A81" s="2">
        <v>15</v>
      </c>
      <c r="B81">
        <v>46800</v>
      </c>
    </row>
    <row r="82" spans="1:2" x14ac:dyDescent="0.3">
      <c r="A82" s="2">
        <v>20</v>
      </c>
      <c r="B82">
        <v>47775</v>
      </c>
    </row>
    <row r="83" spans="1:2" x14ac:dyDescent="0.3">
      <c r="A83" s="2" t="s">
        <v>106</v>
      </c>
      <c r="B83">
        <v>235365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1333D-9352-4E8C-943C-B55DA3EA9D21}">
  <dimension ref="A1:I83"/>
  <sheetViews>
    <sheetView tabSelected="1" topLeftCell="A68" workbookViewId="0">
      <selection activeCell="H79" sqref="H79"/>
    </sheetView>
  </sheetViews>
  <sheetFormatPr baseColWidth="10" defaultRowHeight="14.4" x14ac:dyDescent="0.3"/>
  <cols>
    <col min="1" max="1" width="19.5546875" bestFit="1" customWidth="1"/>
    <col min="2" max="2" width="20.21875" bestFit="1" customWidth="1"/>
    <col min="3" max="3" width="17.109375" bestFit="1" customWidth="1"/>
    <col min="4" max="4" width="11.6640625" bestFit="1" customWidth="1"/>
    <col min="5" max="5" width="13.109375" bestFit="1" customWidth="1"/>
    <col min="6" max="6" width="12.21875" bestFit="1" customWidth="1"/>
    <col min="7" max="7" width="18.88671875" bestFit="1" customWidth="1"/>
    <col min="8" max="8" width="60.5546875" bestFit="1" customWidth="1"/>
  </cols>
  <sheetData>
    <row r="1" spans="1: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102</v>
      </c>
    </row>
    <row r="2" spans="1:9" hidden="1" x14ac:dyDescent="0.3">
      <c r="A2" t="s">
        <v>411</v>
      </c>
      <c r="B2">
        <v>1000000</v>
      </c>
      <c r="C2">
        <v>1</v>
      </c>
      <c r="D2">
        <v>997</v>
      </c>
      <c r="E2">
        <v>997</v>
      </c>
      <c r="F2">
        <v>1002</v>
      </c>
      <c r="G2" t="s">
        <v>412</v>
      </c>
      <c r="H2" t="s">
        <v>413</v>
      </c>
      <c r="I2">
        <f t="shared" ref="I2:I33" si="0">IF(ISNUMBER(G2), G2, SUBSTITUTE(G2, ".", ",")*1)</f>
        <v>19.119575262069699</v>
      </c>
    </row>
    <row r="3" spans="1:9" hidden="1" x14ac:dyDescent="0.3">
      <c r="A3" t="s">
        <v>411</v>
      </c>
      <c r="B3">
        <v>1000000</v>
      </c>
      <c r="C3">
        <v>10</v>
      </c>
      <c r="D3">
        <v>997</v>
      </c>
      <c r="E3">
        <v>996</v>
      </c>
      <c r="F3">
        <v>1002</v>
      </c>
      <c r="G3" t="s">
        <v>414</v>
      </c>
      <c r="H3" t="s">
        <v>415</v>
      </c>
      <c r="I3">
        <f t="shared" si="0"/>
        <v>9.6917152404779995E-4</v>
      </c>
    </row>
    <row r="4" spans="1:9" hidden="1" x14ac:dyDescent="0.3">
      <c r="A4" t="s">
        <v>411</v>
      </c>
      <c r="B4">
        <v>1000000</v>
      </c>
      <c r="C4">
        <v>15</v>
      </c>
      <c r="D4">
        <v>997</v>
      </c>
      <c r="E4">
        <v>997</v>
      </c>
      <c r="F4">
        <v>1005</v>
      </c>
      <c r="G4" t="s">
        <v>416</v>
      </c>
      <c r="H4" t="s">
        <v>417</v>
      </c>
      <c r="I4">
        <f t="shared" si="0"/>
        <v>1.9989013671875E-3</v>
      </c>
    </row>
    <row r="5" spans="1:9" hidden="1" x14ac:dyDescent="0.3">
      <c r="A5" t="s">
        <v>411</v>
      </c>
      <c r="B5">
        <v>1000000</v>
      </c>
      <c r="C5">
        <v>20</v>
      </c>
      <c r="D5">
        <v>997</v>
      </c>
      <c r="E5">
        <v>997</v>
      </c>
      <c r="F5">
        <v>999</v>
      </c>
      <c r="G5" t="s">
        <v>418</v>
      </c>
      <c r="H5" t="s">
        <v>419</v>
      </c>
      <c r="I5">
        <f t="shared" si="0"/>
        <v>1.0018348693846999E-3</v>
      </c>
    </row>
    <row r="6" spans="1:9" hidden="1" x14ac:dyDescent="0.3">
      <c r="A6" t="s">
        <v>411</v>
      </c>
      <c r="B6">
        <v>1000000</v>
      </c>
      <c r="C6">
        <v>5</v>
      </c>
      <c r="D6">
        <v>997</v>
      </c>
      <c r="E6">
        <v>997</v>
      </c>
      <c r="F6">
        <v>1002</v>
      </c>
      <c r="G6" t="s">
        <v>420</v>
      </c>
      <c r="H6" t="s">
        <v>421</v>
      </c>
      <c r="I6">
        <f t="shared" si="0"/>
        <v>23.432671546936</v>
      </c>
    </row>
    <row r="7" spans="1:9" hidden="1" x14ac:dyDescent="0.3">
      <c r="A7" t="s">
        <v>411</v>
      </c>
      <c r="B7">
        <v>100000</v>
      </c>
      <c r="C7">
        <v>1</v>
      </c>
      <c r="D7">
        <v>997</v>
      </c>
      <c r="E7">
        <v>997</v>
      </c>
      <c r="F7">
        <v>1002</v>
      </c>
      <c r="G7" t="s">
        <v>422</v>
      </c>
      <c r="H7" t="s">
        <v>423</v>
      </c>
      <c r="I7">
        <f t="shared" si="0"/>
        <v>1.9012548923492401</v>
      </c>
    </row>
    <row r="8" spans="1:9" hidden="1" x14ac:dyDescent="0.3">
      <c r="A8" t="s">
        <v>411</v>
      </c>
      <c r="B8">
        <v>100000</v>
      </c>
      <c r="C8">
        <v>10</v>
      </c>
      <c r="D8">
        <v>997</v>
      </c>
      <c r="E8">
        <v>997</v>
      </c>
      <c r="F8">
        <v>1002</v>
      </c>
      <c r="G8" t="s">
        <v>424</v>
      </c>
      <c r="H8" t="s">
        <v>425</v>
      </c>
      <c r="I8">
        <f t="shared" si="0"/>
        <v>1.0004043579101001E-3</v>
      </c>
    </row>
    <row r="9" spans="1:9" hidden="1" x14ac:dyDescent="0.3">
      <c r="A9" t="s">
        <v>411</v>
      </c>
      <c r="B9">
        <v>100000</v>
      </c>
      <c r="C9">
        <v>15</v>
      </c>
      <c r="D9">
        <v>997</v>
      </c>
      <c r="E9">
        <v>997</v>
      </c>
      <c r="F9">
        <v>1002</v>
      </c>
      <c r="G9" t="s">
        <v>426</v>
      </c>
      <c r="H9" t="s">
        <v>427</v>
      </c>
      <c r="I9">
        <f t="shared" si="0"/>
        <v>2.5131247043609601</v>
      </c>
    </row>
    <row r="10" spans="1:9" hidden="1" x14ac:dyDescent="0.3">
      <c r="A10" t="s">
        <v>411</v>
      </c>
      <c r="B10">
        <v>100000</v>
      </c>
      <c r="C10">
        <v>20</v>
      </c>
      <c r="D10">
        <v>997</v>
      </c>
      <c r="E10">
        <v>996</v>
      </c>
      <c r="F10">
        <v>1005</v>
      </c>
      <c r="G10" t="s">
        <v>428</v>
      </c>
      <c r="H10" t="s">
        <v>429</v>
      </c>
      <c r="I10">
        <f t="shared" si="0"/>
        <v>2.3696627616882302</v>
      </c>
    </row>
    <row r="11" spans="1:9" hidden="1" x14ac:dyDescent="0.3">
      <c r="A11" t="s">
        <v>411</v>
      </c>
      <c r="B11">
        <v>100000</v>
      </c>
      <c r="C11">
        <v>5</v>
      </c>
      <c r="D11">
        <v>997</v>
      </c>
      <c r="E11">
        <v>993</v>
      </c>
      <c r="F11">
        <v>999</v>
      </c>
      <c r="G11" t="s">
        <v>430</v>
      </c>
      <c r="H11" t="s">
        <v>431</v>
      </c>
      <c r="I11">
        <f t="shared" si="0"/>
        <v>2.1761944293975799</v>
      </c>
    </row>
    <row r="12" spans="1:9" hidden="1" x14ac:dyDescent="0.3">
      <c r="A12" t="s">
        <v>411</v>
      </c>
      <c r="B12">
        <v>10000</v>
      </c>
      <c r="C12">
        <v>1</v>
      </c>
      <c r="D12">
        <v>997</v>
      </c>
      <c r="E12">
        <v>995</v>
      </c>
      <c r="F12">
        <v>999</v>
      </c>
      <c r="G12" t="s">
        <v>432</v>
      </c>
      <c r="H12" t="s">
        <v>433</v>
      </c>
      <c r="I12">
        <f t="shared" si="0"/>
        <v>0.20918869972229001</v>
      </c>
    </row>
    <row r="13" spans="1:9" hidden="1" x14ac:dyDescent="0.3">
      <c r="A13" t="s">
        <v>411</v>
      </c>
      <c r="B13">
        <v>10000</v>
      </c>
      <c r="C13">
        <v>10</v>
      </c>
      <c r="D13">
        <v>997</v>
      </c>
      <c r="E13">
        <v>997</v>
      </c>
      <c r="F13">
        <v>1002</v>
      </c>
      <c r="G13" t="s">
        <v>434</v>
      </c>
      <c r="H13" t="s">
        <v>435</v>
      </c>
      <c r="I13">
        <f t="shared" si="0"/>
        <v>0.23622465133666901</v>
      </c>
    </row>
    <row r="14" spans="1:9" hidden="1" x14ac:dyDescent="0.3">
      <c r="A14" t="s">
        <v>411</v>
      </c>
      <c r="B14">
        <v>10000</v>
      </c>
      <c r="C14">
        <v>15</v>
      </c>
      <c r="D14">
        <v>997</v>
      </c>
      <c r="E14">
        <v>997</v>
      </c>
      <c r="F14">
        <v>1002</v>
      </c>
      <c r="G14" t="s">
        <v>436</v>
      </c>
      <c r="H14" t="s">
        <v>437</v>
      </c>
      <c r="I14">
        <f t="shared" si="0"/>
        <v>9.6797943115229995E-4</v>
      </c>
    </row>
    <row r="15" spans="1:9" hidden="1" x14ac:dyDescent="0.3">
      <c r="A15" t="s">
        <v>411</v>
      </c>
      <c r="B15">
        <v>10000</v>
      </c>
      <c r="C15">
        <v>20</v>
      </c>
      <c r="D15">
        <v>997</v>
      </c>
      <c r="E15">
        <v>996</v>
      </c>
      <c r="F15">
        <v>1002</v>
      </c>
      <c r="G15" t="s">
        <v>438</v>
      </c>
      <c r="H15" t="s">
        <v>439</v>
      </c>
      <c r="I15">
        <f t="shared" si="0"/>
        <v>9.9635124206539998E-4</v>
      </c>
    </row>
    <row r="16" spans="1:9" hidden="1" x14ac:dyDescent="0.3">
      <c r="A16" t="s">
        <v>411</v>
      </c>
      <c r="B16">
        <v>10000</v>
      </c>
      <c r="C16">
        <v>5</v>
      </c>
      <c r="D16">
        <v>997</v>
      </c>
      <c r="E16">
        <v>997</v>
      </c>
      <c r="F16">
        <v>1002</v>
      </c>
      <c r="G16" t="s">
        <v>440</v>
      </c>
      <c r="H16" t="s">
        <v>441</v>
      </c>
      <c r="I16">
        <f t="shared" si="0"/>
        <v>0.28456330299377403</v>
      </c>
    </row>
    <row r="17" spans="1:9" x14ac:dyDescent="0.3">
      <c r="A17" t="s">
        <v>411</v>
      </c>
      <c r="B17">
        <v>1000</v>
      </c>
      <c r="C17">
        <v>1</v>
      </c>
      <c r="D17">
        <v>997</v>
      </c>
      <c r="E17">
        <v>997</v>
      </c>
      <c r="F17">
        <v>1008</v>
      </c>
      <c r="G17" t="s">
        <v>442</v>
      </c>
      <c r="H17" t="s">
        <v>443</v>
      </c>
      <c r="I17">
        <f t="shared" si="0"/>
        <v>2.3031949996948201E-2</v>
      </c>
    </row>
    <row r="18" spans="1:9" hidden="1" x14ac:dyDescent="0.3">
      <c r="A18" t="s">
        <v>411</v>
      </c>
      <c r="B18">
        <v>1000</v>
      </c>
      <c r="C18">
        <v>10</v>
      </c>
      <c r="D18">
        <v>997</v>
      </c>
      <c r="E18">
        <v>997</v>
      </c>
      <c r="F18">
        <v>1002</v>
      </c>
      <c r="G18" t="s">
        <v>444</v>
      </c>
      <c r="H18" t="s">
        <v>445</v>
      </c>
      <c r="I18">
        <f t="shared" si="0"/>
        <v>2.3999214172363201E-2</v>
      </c>
    </row>
    <row r="19" spans="1:9" hidden="1" x14ac:dyDescent="0.3">
      <c r="A19" t="s">
        <v>411</v>
      </c>
      <c r="B19">
        <v>1000</v>
      </c>
      <c r="C19">
        <v>15</v>
      </c>
      <c r="D19">
        <v>997</v>
      </c>
      <c r="E19">
        <v>997</v>
      </c>
      <c r="F19">
        <v>1002</v>
      </c>
      <c r="G19" t="s">
        <v>446</v>
      </c>
      <c r="H19" t="s">
        <v>447</v>
      </c>
      <c r="I19">
        <f t="shared" si="0"/>
        <v>1.0032653808593E-3</v>
      </c>
    </row>
    <row r="20" spans="1:9" hidden="1" x14ac:dyDescent="0.3">
      <c r="A20" t="s">
        <v>411</v>
      </c>
      <c r="B20">
        <v>1000</v>
      </c>
      <c r="C20">
        <v>20</v>
      </c>
      <c r="D20">
        <v>997</v>
      </c>
      <c r="E20">
        <v>997</v>
      </c>
      <c r="F20">
        <v>1002</v>
      </c>
      <c r="G20" t="s">
        <v>11</v>
      </c>
      <c r="H20" t="s">
        <v>448</v>
      </c>
      <c r="I20">
        <f t="shared" si="0"/>
        <v>0</v>
      </c>
    </row>
    <row r="21" spans="1:9" hidden="1" x14ac:dyDescent="0.3">
      <c r="A21" t="s">
        <v>411</v>
      </c>
      <c r="B21">
        <v>1000</v>
      </c>
      <c r="C21">
        <v>5</v>
      </c>
      <c r="D21">
        <v>997</v>
      </c>
      <c r="E21">
        <v>995</v>
      </c>
      <c r="F21">
        <v>1002</v>
      </c>
      <c r="G21" t="s">
        <v>449</v>
      </c>
      <c r="H21" t="s">
        <v>450</v>
      </c>
      <c r="I21">
        <f t="shared" si="0"/>
        <v>2.3160934448242101E-2</v>
      </c>
    </row>
    <row r="22" spans="1:9" hidden="1" x14ac:dyDescent="0.3">
      <c r="A22" t="s">
        <v>411</v>
      </c>
      <c r="B22">
        <v>100</v>
      </c>
      <c r="C22">
        <v>1</v>
      </c>
      <c r="D22">
        <v>997</v>
      </c>
      <c r="E22">
        <v>995</v>
      </c>
      <c r="F22">
        <v>1002</v>
      </c>
      <c r="G22" t="s">
        <v>451</v>
      </c>
      <c r="H22" t="s">
        <v>452</v>
      </c>
      <c r="I22">
        <f t="shared" si="0"/>
        <v>3.0345916748045999E-3</v>
      </c>
    </row>
    <row r="23" spans="1:9" hidden="1" x14ac:dyDescent="0.3">
      <c r="A23" t="s">
        <v>411</v>
      </c>
      <c r="B23">
        <v>100</v>
      </c>
      <c r="C23">
        <v>10</v>
      </c>
      <c r="D23">
        <v>997</v>
      </c>
      <c r="E23">
        <v>997</v>
      </c>
      <c r="F23">
        <v>1002</v>
      </c>
      <c r="G23" t="s">
        <v>453</v>
      </c>
      <c r="H23" t="s">
        <v>454</v>
      </c>
      <c r="I23">
        <f t="shared" si="0"/>
        <v>1.9981861114500999E-3</v>
      </c>
    </row>
    <row r="24" spans="1:9" hidden="1" x14ac:dyDescent="0.3">
      <c r="A24" t="s">
        <v>411</v>
      </c>
      <c r="B24">
        <v>100</v>
      </c>
      <c r="C24">
        <v>15</v>
      </c>
      <c r="D24">
        <v>997</v>
      </c>
      <c r="E24">
        <v>996</v>
      </c>
      <c r="F24">
        <v>1002</v>
      </c>
      <c r="G24" t="s">
        <v>455</v>
      </c>
      <c r="H24" t="s">
        <v>456</v>
      </c>
      <c r="I24">
        <f t="shared" si="0"/>
        <v>4.0004253387450998E-3</v>
      </c>
    </row>
    <row r="25" spans="1:9" hidden="1" x14ac:dyDescent="0.3">
      <c r="A25" t="s">
        <v>411</v>
      </c>
      <c r="B25">
        <v>100</v>
      </c>
      <c r="C25">
        <v>20</v>
      </c>
      <c r="D25">
        <v>997</v>
      </c>
      <c r="E25">
        <v>997</v>
      </c>
      <c r="F25">
        <v>1002</v>
      </c>
      <c r="G25" t="s">
        <v>457</v>
      </c>
      <c r="H25" t="s">
        <v>458</v>
      </c>
      <c r="I25">
        <f t="shared" si="0"/>
        <v>1.0011196136474E-3</v>
      </c>
    </row>
    <row r="26" spans="1:9" hidden="1" x14ac:dyDescent="0.3">
      <c r="A26" t="s">
        <v>411</v>
      </c>
      <c r="B26">
        <v>100</v>
      </c>
      <c r="C26">
        <v>5</v>
      </c>
      <c r="D26">
        <v>997</v>
      </c>
      <c r="E26">
        <v>997</v>
      </c>
      <c r="F26">
        <v>1005</v>
      </c>
      <c r="G26" t="s">
        <v>459</v>
      </c>
      <c r="H26" t="s">
        <v>460</v>
      </c>
      <c r="I26">
        <f t="shared" si="0"/>
        <v>3.0016899108885999E-3</v>
      </c>
    </row>
    <row r="27" spans="1:9" hidden="1" x14ac:dyDescent="0.3">
      <c r="A27" t="s">
        <v>411</v>
      </c>
      <c r="B27">
        <v>500000</v>
      </c>
      <c r="C27">
        <v>1</v>
      </c>
      <c r="D27">
        <v>997</v>
      </c>
      <c r="E27">
        <v>997</v>
      </c>
      <c r="F27">
        <v>1002</v>
      </c>
      <c r="G27" t="s">
        <v>461</v>
      </c>
      <c r="H27" t="s">
        <v>462</v>
      </c>
      <c r="I27">
        <f t="shared" si="0"/>
        <v>12.264229536056501</v>
      </c>
    </row>
    <row r="28" spans="1:9" hidden="1" x14ac:dyDescent="0.3">
      <c r="A28" t="s">
        <v>411</v>
      </c>
      <c r="B28">
        <v>500000</v>
      </c>
      <c r="C28">
        <v>10</v>
      </c>
      <c r="D28">
        <v>997</v>
      </c>
      <c r="E28">
        <v>997</v>
      </c>
      <c r="F28">
        <v>1005</v>
      </c>
      <c r="G28" t="s">
        <v>463</v>
      </c>
      <c r="H28" t="s">
        <v>464</v>
      </c>
      <c r="I28">
        <f t="shared" si="0"/>
        <v>12.321033954620299</v>
      </c>
    </row>
    <row r="29" spans="1:9" hidden="1" x14ac:dyDescent="0.3">
      <c r="A29" t="s">
        <v>411</v>
      </c>
      <c r="B29">
        <v>500000</v>
      </c>
      <c r="C29">
        <v>15</v>
      </c>
      <c r="D29">
        <v>997</v>
      </c>
      <c r="E29">
        <v>996</v>
      </c>
      <c r="F29">
        <v>999</v>
      </c>
      <c r="G29" t="s">
        <v>465</v>
      </c>
      <c r="H29" t="s">
        <v>466</v>
      </c>
      <c r="I29">
        <f t="shared" si="0"/>
        <v>9.7298622131340002E-4</v>
      </c>
    </row>
    <row r="30" spans="1:9" hidden="1" x14ac:dyDescent="0.3">
      <c r="A30" t="s">
        <v>411</v>
      </c>
      <c r="B30">
        <v>500000</v>
      </c>
      <c r="C30">
        <v>20</v>
      </c>
      <c r="D30">
        <v>997</v>
      </c>
      <c r="E30">
        <v>997</v>
      </c>
      <c r="F30">
        <v>1002</v>
      </c>
      <c r="G30" t="s">
        <v>467</v>
      </c>
      <c r="H30" t="s">
        <v>468</v>
      </c>
      <c r="I30">
        <f t="shared" si="0"/>
        <v>2.0327568054199002E-3</v>
      </c>
    </row>
    <row r="31" spans="1:9" hidden="1" x14ac:dyDescent="0.3">
      <c r="A31" t="s">
        <v>411</v>
      </c>
      <c r="B31">
        <v>500000</v>
      </c>
      <c r="C31">
        <v>5</v>
      </c>
      <c r="D31">
        <v>997</v>
      </c>
      <c r="E31">
        <v>996</v>
      </c>
      <c r="F31">
        <v>1002</v>
      </c>
      <c r="G31" t="s">
        <v>469</v>
      </c>
      <c r="H31" t="s">
        <v>470</v>
      </c>
      <c r="I31">
        <f t="shared" si="0"/>
        <v>12.3816685676574</v>
      </c>
    </row>
    <row r="32" spans="1:9" hidden="1" x14ac:dyDescent="0.3">
      <c r="A32" t="s">
        <v>411</v>
      </c>
      <c r="B32">
        <v>50000</v>
      </c>
      <c r="C32">
        <v>1</v>
      </c>
      <c r="D32">
        <v>997</v>
      </c>
      <c r="E32">
        <v>996</v>
      </c>
      <c r="F32">
        <v>1002</v>
      </c>
      <c r="G32" t="s">
        <v>471</v>
      </c>
      <c r="H32" t="s">
        <v>472</v>
      </c>
      <c r="I32">
        <f t="shared" si="0"/>
        <v>0.99103164672851496</v>
      </c>
    </row>
    <row r="33" spans="1:9" hidden="1" x14ac:dyDescent="0.3">
      <c r="A33" t="s">
        <v>411</v>
      </c>
      <c r="B33">
        <v>50000</v>
      </c>
      <c r="C33">
        <v>10</v>
      </c>
      <c r="D33">
        <v>997</v>
      </c>
      <c r="E33">
        <v>997</v>
      </c>
      <c r="F33">
        <v>1002</v>
      </c>
      <c r="G33" t="s">
        <v>473</v>
      </c>
      <c r="H33" t="s">
        <v>474</v>
      </c>
      <c r="I33">
        <f t="shared" si="0"/>
        <v>1.32693886756896</v>
      </c>
    </row>
    <row r="34" spans="1:9" hidden="1" x14ac:dyDescent="0.3">
      <c r="A34" t="s">
        <v>411</v>
      </c>
      <c r="B34">
        <v>50000</v>
      </c>
      <c r="C34">
        <v>15</v>
      </c>
      <c r="D34">
        <v>997</v>
      </c>
      <c r="E34">
        <v>997</v>
      </c>
      <c r="F34">
        <v>999</v>
      </c>
      <c r="G34" t="s">
        <v>11</v>
      </c>
      <c r="H34" t="s">
        <v>475</v>
      </c>
      <c r="I34">
        <f t="shared" ref="I34:I51" si="1">IF(ISNUMBER(G34), G34, SUBSTITUTE(G34, ".", ",")*1)</f>
        <v>0</v>
      </c>
    </row>
    <row r="35" spans="1:9" hidden="1" x14ac:dyDescent="0.3">
      <c r="A35" t="s">
        <v>411</v>
      </c>
      <c r="B35">
        <v>50000</v>
      </c>
      <c r="C35">
        <v>20</v>
      </c>
      <c r="D35">
        <v>997</v>
      </c>
      <c r="E35">
        <v>994</v>
      </c>
      <c r="F35">
        <v>1002</v>
      </c>
      <c r="G35" t="s">
        <v>476</v>
      </c>
      <c r="H35" t="s">
        <v>477</v>
      </c>
      <c r="I35">
        <f t="shared" si="1"/>
        <v>1.0085105895996001E-3</v>
      </c>
    </row>
    <row r="36" spans="1:9" hidden="1" x14ac:dyDescent="0.3">
      <c r="A36" t="s">
        <v>411</v>
      </c>
      <c r="B36">
        <v>50000</v>
      </c>
      <c r="C36">
        <v>5</v>
      </c>
      <c r="D36">
        <v>997</v>
      </c>
      <c r="E36">
        <v>996</v>
      </c>
      <c r="F36">
        <v>1002</v>
      </c>
      <c r="G36" t="s">
        <v>478</v>
      </c>
      <c r="H36" t="s">
        <v>479</v>
      </c>
      <c r="I36">
        <f t="shared" si="1"/>
        <v>1.40893650054931</v>
      </c>
    </row>
    <row r="37" spans="1:9" hidden="1" x14ac:dyDescent="0.3">
      <c r="A37" t="s">
        <v>411</v>
      </c>
      <c r="B37">
        <v>5000</v>
      </c>
      <c r="C37">
        <v>1</v>
      </c>
      <c r="D37">
        <v>997</v>
      </c>
      <c r="E37">
        <v>997</v>
      </c>
      <c r="F37">
        <v>1002</v>
      </c>
      <c r="G37" t="s">
        <v>480</v>
      </c>
      <c r="H37" t="s">
        <v>481</v>
      </c>
      <c r="I37">
        <f t="shared" si="1"/>
        <v>0.10659146308898899</v>
      </c>
    </row>
    <row r="38" spans="1:9" hidden="1" x14ac:dyDescent="0.3">
      <c r="A38" t="s">
        <v>411</v>
      </c>
      <c r="B38">
        <v>5000</v>
      </c>
      <c r="C38">
        <v>10</v>
      </c>
      <c r="D38">
        <v>997</v>
      </c>
      <c r="E38">
        <v>997</v>
      </c>
      <c r="F38">
        <v>1002</v>
      </c>
      <c r="G38" t="s">
        <v>482</v>
      </c>
      <c r="H38" t="s">
        <v>483</v>
      </c>
      <c r="I38">
        <f t="shared" si="1"/>
        <v>9.5915794372549996E-4</v>
      </c>
    </row>
    <row r="39" spans="1:9" hidden="1" x14ac:dyDescent="0.3">
      <c r="A39" t="s">
        <v>411</v>
      </c>
      <c r="B39">
        <v>5000</v>
      </c>
      <c r="C39">
        <v>15</v>
      </c>
      <c r="D39">
        <v>997</v>
      </c>
      <c r="E39">
        <v>997</v>
      </c>
      <c r="F39">
        <v>1002</v>
      </c>
      <c r="G39" t="s">
        <v>484</v>
      </c>
      <c r="H39" t="s">
        <v>485</v>
      </c>
      <c r="I39">
        <f t="shared" si="1"/>
        <v>9.9968910217279995E-4</v>
      </c>
    </row>
    <row r="40" spans="1:9" hidden="1" x14ac:dyDescent="0.3">
      <c r="A40" t="s">
        <v>411</v>
      </c>
      <c r="B40">
        <v>5000</v>
      </c>
      <c r="C40">
        <v>20</v>
      </c>
      <c r="D40">
        <v>997</v>
      </c>
      <c r="E40">
        <v>997</v>
      </c>
      <c r="F40">
        <v>1002</v>
      </c>
      <c r="G40" t="s">
        <v>486</v>
      </c>
      <c r="H40" t="s">
        <v>487</v>
      </c>
      <c r="I40">
        <f t="shared" si="1"/>
        <v>9.6464157104489997E-4</v>
      </c>
    </row>
    <row r="41" spans="1:9" hidden="1" x14ac:dyDescent="0.3">
      <c r="A41" t="s">
        <v>411</v>
      </c>
      <c r="B41">
        <v>5000</v>
      </c>
      <c r="C41">
        <v>5</v>
      </c>
      <c r="D41">
        <v>997</v>
      </c>
      <c r="E41">
        <v>995</v>
      </c>
      <c r="F41">
        <v>1002</v>
      </c>
      <c r="G41" t="s">
        <v>488</v>
      </c>
      <c r="H41" t="s">
        <v>489</v>
      </c>
      <c r="I41">
        <f t="shared" si="1"/>
        <v>0.110260248184204</v>
      </c>
    </row>
    <row r="42" spans="1:9" hidden="1" x14ac:dyDescent="0.3">
      <c r="A42" t="s">
        <v>411</v>
      </c>
      <c r="B42">
        <v>500</v>
      </c>
      <c r="C42">
        <v>1</v>
      </c>
      <c r="D42">
        <v>997</v>
      </c>
      <c r="E42">
        <v>997</v>
      </c>
      <c r="F42">
        <v>1002</v>
      </c>
      <c r="G42" t="s">
        <v>490</v>
      </c>
      <c r="H42" t="s">
        <v>491</v>
      </c>
      <c r="I42">
        <f t="shared" si="1"/>
        <v>1.0104894638061499E-2</v>
      </c>
    </row>
    <row r="43" spans="1:9" hidden="1" x14ac:dyDescent="0.3">
      <c r="A43" t="s">
        <v>411</v>
      </c>
      <c r="B43">
        <v>500</v>
      </c>
      <c r="C43">
        <v>10</v>
      </c>
      <c r="D43">
        <v>997</v>
      </c>
      <c r="E43">
        <v>996</v>
      </c>
      <c r="F43">
        <v>1005</v>
      </c>
      <c r="G43" t="s">
        <v>492</v>
      </c>
      <c r="H43" t="s">
        <v>493</v>
      </c>
      <c r="I43">
        <f t="shared" si="1"/>
        <v>1.21428966522216E-2</v>
      </c>
    </row>
    <row r="44" spans="1:9" hidden="1" x14ac:dyDescent="0.3">
      <c r="A44" t="s">
        <v>411</v>
      </c>
      <c r="B44">
        <v>500</v>
      </c>
      <c r="C44">
        <v>15</v>
      </c>
      <c r="D44">
        <v>997</v>
      </c>
      <c r="E44">
        <v>995</v>
      </c>
      <c r="F44">
        <v>1002</v>
      </c>
      <c r="G44" t="s">
        <v>438</v>
      </c>
      <c r="H44" t="s">
        <v>494</v>
      </c>
      <c r="I44">
        <f t="shared" si="1"/>
        <v>9.9635124206539998E-4</v>
      </c>
    </row>
    <row r="45" spans="1:9" hidden="1" x14ac:dyDescent="0.3">
      <c r="A45" t="s">
        <v>411</v>
      </c>
      <c r="B45">
        <v>500</v>
      </c>
      <c r="C45">
        <v>20</v>
      </c>
      <c r="D45">
        <v>997</v>
      </c>
      <c r="E45">
        <v>997</v>
      </c>
      <c r="F45">
        <v>1005</v>
      </c>
      <c r="G45" t="s">
        <v>495</v>
      </c>
      <c r="H45" t="s">
        <v>496</v>
      </c>
      <c r="I45">
        <f t="shared" si="1"/>
        <v>1.0371208190916999E-3</v>
      </c>
    </row>
    <row r="46" spans="1:9" hidden="1" x14ac:dyDescent="0.3">
      <c r="A46" t="s">
        <v>411</v>
      </c>
      <c r="B46">
        <v>500</v>
      </c>
      <c r="C46">
        <v>5</v>
      </c>
      <c r="D46">
        <v>997</v>
      </c>
      <c r="E46">
        <v>996</v>
      </c>
      <c r="F46">
        <v>1005</v>
      </c>
      <c r="G46" t="s">
        <v>497</v>
      </c>
      <c r="H46" t="s">
        <v>498</v>
      </c>
      <c r="I46">
        <f t="shared" si="1"/>
        <v>1.10344886779785E-2</v>
      </c>
    </row>
    <row r="47" spans="1:9" hidden="1" x14ac:dyDescent="0.3">
      <c r="A47" t="s">
        <v>411</v>
      </c>
      <c r="B47">
        <v>50</v>
      </c>
      <c r="C47">
        <v>1</v>
      </c>
      <c r="D47">
        <v>997</v>
      </c>
      <c r="E47">
        <v>995</v>
      </c>
      <c r="F47">
        <v>999</v>
      </c>
      <c r="G47" t="s">
        <v>499</v>
      </c>
      <c r="H47" t="s">
        <v>500</v>
      </c>
      <c r="I47">
        <f t="shared" si="1"/>
        <v>2.0036697387695E-3</v>
      </c>
    </row>
    <row r="48" spans="1:9" hidden="1" x14ac:dyDescent="0.3">
      <c r="A48" t="s">
        <v>411</v>
      </c>
      <c r="B48">
        <v>50</v>
      </c>
      <c r="C48">
        <v>10</v>
      </c>
      <c r="D48">
        <v>997</v>
      </c>
      <c r="E48">
        <v>996</v>
      </c>
      <c r="F48">
        <v>1002</v>
      </c>
      <c r="G48" t="s">
        <v>484</v>
      </c>
      <c r="H48" t="s">
        <v>501</v>
      </c>
      <c r="I48">
        <f t="shared" si="1"/>
        <v>9.9968910217279995E-4</v>
      </c>
    </row>
    <row r="49" spans="1:9" hidden="1" x14ac:dyDescent="0.3">
      <c r="A49" t="s">
        <v>411</v>
      </c>
      <c r="B49">
        <v>50</v>
      </c>
      <c r="C49">
        <v>15</v>
      </c>
      <c r="D49">
        <v>997</v>
      </c>
      <c r="E49">
        <v>997</v>
      </c>
      <c r="F49">
        <v>1002</v>
      </c>
      <c r="G49" t="s">
        <v>484</v>
      </c>
      <c r="H49" t="s">
        <v>502</v>
      </c>
      <c r="I49">
        <f t="shared" si="1"/>
        <v>9.9968910217279995E-4</v>
      </c>
    </row>
    <row r="50" spans="1:9" hidden="1" x14ac:dyDescent="0.3">
      <c r="A50" t="s">
        <v>411</v>
      </c>
      <c r="B50">
        <v>50</v>
      </c>
      <c r="C50">
        <v>20</v>
      </c>
      <c r="D50">
        <v>997</v>
      </c>
      <c r="E50">
        <v>997</v>
      </c>
      <c r="F50">
        <v>1005</v>
      </c>
      <c r="G50" t="s">
        <v>503</v>
      </c>
      <c r="H50" t="s">
        <v>504</v>
      </c>
      <c r="I50">
        <f t="shared" si="1"/>
        <v>1.9998550415039002E-3</v>
      </c>
    </row>
    <row r="51" spans="1:9" hidden="1" x14ac:dyDescent="0.3">
      <c r="A51" t="s">
        <v>411</v>
      </c>
      <c r="B51">
        <v>50</v>
      </c>
      <c r="C51">
        <v>5</v>
      </c>
      <c r="D51">
        <v>997</v>
      </c>
      <c r="E51">
        <v>997</v>
      </c>
      <c r="F51">
        <v>1002</v>
      </c>
      <c r="G51" t="s">
        <v>505</v>
      </c>
      <c r="H51" t="s">
        <v>506</v>
      </c>
      <c r="I51">
        <f t="shared" si="1"/>
        <v>9.9325180053710005E-4</v>
      </c>
    </row>
    <row r="57" spans="1:9" x14ac:dyDescent="0.3">
      <c r="A57" t="s">
        <v>103</v>
      </c>
      <c r="B57">
        <f>AVERAGE(results_6_fusionné[tps_nb])</f>
        <v>1.8658713340759236</v>
      </c>
    </row>
    <row r="58" spans="1:9" x14ac:dyDescent="0.3">
      <c r="A58" t="s">
        <v>104</v>
      </c>
      <c r="B58">
        <f>MAX(results_6_fusionné[Total profit])</f>
        <v>1008</v>
      </c>
    </row>
    <row r="60" spans="1:9" x14ac:dyDescent="0.3">
      <c r="A60" s="1" t="s">
        <v>105</v>
      </c>
      <c r="B60" t="s">
        <v>108</v>
      </c>
    </row>
    <row r="61" spans="1:9" x14ac:dyDescent="0.3">
      <c r="A61" s="2">
        <v>50</v>
      </c>
      <c r="B61">
        <v>1002</v>
      </c>
    </row>
    <row r="62" spans="1:9" x14ac:dyDescent="0.3">
      <c r="A62" s="2">
        <v>100</v>
      </c>
      <c r="B62">
        <v>1002.6</v>
      </c>
    </row>
    <row r="63" spans="1:9" x14ac:dyDescent="0.3">
      <c r="A63" s="2">
        <v>500</v>
      </c>
      <c r="B63">
        <v>1003.8</v>
      </c>
    </row>
    <row r="64" spans="1:9" x14ac:dyDescent="0.3">
      <c r="A64" s="2">
        <v>1000</v>
      </c>
      <c r="B64">
        <v>1003.2</v>
      </c>
    </row>
    <row r="65" spans="1:2" x14ac:dyDescent="0.3">
      <c r="A65" s="2">
        <v>5000</v>
      </c>
      <c r="B65">
        <v>1002</v>
      </c>
    </row>
    <row r="66" spans="1:2" x14ac:dyDescent="0.3">
      <c r="A66" s="2">
        <v>10000</v>
      </c>
      <c r="B66">
        <v>1001.4</v>
      </c>
    </row>
    <row r="67" spans="1:2" x14ac:dyDescent="0.3">
      <c r="A67" s="2">
        <v>50000</v>
      </c>
      <c r="B67">
        <v>1001.4</v>
      </c>
    </row>
    <row r="68" spans="1:2" x14ac:dyDescent="0.3">
      <c r="A68" s="2">
        <v>100000</v>
      </c>
      <c r="B68">
        <v>1002</v>
      </c>
    </row>
    <row r="69" spans="1:2" x14ac:dyDescent="0.3">
      <c r="A69" s="2">
        <v>500000</v>
      </c>
      <c r="B69">
        <v>1002</v>
      </c>
    </row>
    <row r="70" spans="1:2" x14ac:dyDescent="0.3">
      <c r="A70" s="2">
        <v>1000000</v>
      </c>
      <c r="B70">
        <v>1002</v>
      </c>
    </row>
    <row r="71" spans="1:2" x14ac:dyDescent="0.3">
      <c r="A71" s="2" t="s">
        <v>106</v>
      </c>
      <c r="B71">
        <v>1002.24</v>
      </c>
    </row>
    <row r="77" spans="1:2" x14ac:dyDescent="0.3">
      <c r="A77" s="1" t="s">
        <v>105</v>
      </c>
      <c r="B77" t="s">
        <v>108</v>
      </c>
    </row>
    <row r="78" spans="1:2" x14ac:dyDescent="0.3">
      <c r="A78" s="2">
        <v>1</v>
      </c>
      <c r="B78">
        <v>1002</v>
      </c>
    </row>
    <row r="79" spans="1:2" x14ac:dyDescent="0.3">
      <c r="A79" s="2">
        <v>5</v>
      </c>
      <c r="B79">
        <v>1002.3</v>
      </c>
    </row>
    <row r="80" spans="1:2" x14ac:dyDescent="0.3">
      <c r="A80" s="2">
        <v>10</v>
      </c>
      <c r="B80">
        <v>1002.6</v>
      </c>
    </row>
    <row r="81" spans="1:2" x14ac:dyDescent="0.3">
      <c r="A81" s="2">
        <v>15</v>
      </c>
      <c r="B81">
        <v>1001.7</v>
      </c>
    </row>
    <row r="82" spans="1:2" x14ac:dyDescent="0.3">
      <c r="A82" s="2">
        <v>20</v>
      </c>
      <c r="B82">
        <v>1002.6</v>
      </c>
    </row>
    <row r="83" spans="1:2" x14ac:dyDescent="0.3">
      <c r="A83" s="2" t="s">
        <v>106</v>
      </c>
      <c r="B83">
        <v>1002.24</v>
      </c>
    </row>
  </sheetData>
  <pageMargins left="0.7" right="0.7" top="0.75" bottom="0.75" header="0.3" footer="0.3"/>
  <drawing r:id="rId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08F08-BAA2-45A8-9D10-58114AE781AD}">
  <dimension ref="A1"/>
  <sheetViews>
    <sheetView workbookViewId="0"/>
  </sheetViews>
  <sheetFormatPr baseColWidth="10"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881002C-3320-4510-9DB8-299B7EC3B2A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6</vt:i4>
      </vt:variant>
    </vt:vector>
  </HeadingPairs>
  <TitlesOfParts>
    <vt:vector size="6" baseType="lpstr">
      <vt:lpstr>results_0_fusionné</vt:lpstr>
      <vt:lpstr>results_1_fusionné</vt:lpstr>
      <vt:lpstr>results_3_fusionné</vt:lpstr>
      <vt:lpstr>results_4_fusionné</vt:lpstr>
      <vt:lpstr>results_6_fusionné</vt:lpstr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Robin AUJOGUES dit BARON</dc:creator>
  <cp:lastModifiedBy>Robin AUJOGUES dit BARON</cp:lastModifiedBy>
  <dcterms:created xsi:type="dcterms:W3CDTF">2025-04-11T12:43:18Z</dcterms:created>
  <dcterms:modified xsi:type="dcterms:W3CDTF">2025-04-12T09:29:23Z</dcterms:modified>
</cp:coreProperties>
</file>