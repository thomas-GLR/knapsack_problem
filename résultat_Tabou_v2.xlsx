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9.xml" ContentType="application/vnd.openxmlformats-officedocument.spreadsheetml.pivotTab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20.xml" ContentType="application/vnd.openxmlformats-officedocument.spreadsheetml.pivotTable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pivotTables/pivotTable23.xml" ContentType="application/vnd.openxmlformats-officedocument.spreadsheetml.pivotTable+xml"/>
  <Override PartName="/xl/drawings/drawing13.xml" ContentType="application/vnd.openxmlformats-officedocument.drawing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pivotTables/pivotTable24.xml" ContentType="application/vnd.openxmlformats-officedocument.spreadsheetml.pivotTable+xml"/>
  <Override PartName="/xl/drawings/drawing14.xml" ContentType="application/vnd.openxmlformats-officedocument.drawing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DC0A4E3F-9E65-45D5-9560-AE6AEE1971FB}" xr6:coauthVersionLast="47" xr6:coauthVersionMax="47" xr10:uidLastSave="{00000000-0000-0000-0000-000000000000}"/>
  <bookViews>
    <workbookView xWindow="22932" yWindow="-108" windowWidth="23256" windowHeight="12456" activeTab="13" xr2:uid="{FA556888-71C7-44BA-BCFC-48CD02DC929A}"/>
  </bookViews>
  <sheets>
    <sheet name="results_0_fusionné" sheetId="2" r:id="rId1"/>
    <sheet name="results_1_fusionné" sheetId="3" r:id="rId2"/>
    <sheet name="results_2_fusionné" sheetId="8" r:id="rId3"/>
    <sheet name="results_3_fusionné" sheetId="4" r:id="rId4"/>
    <sheet name="results_4_fusionné" sheetId="5" r:id="rId5"/>
    <sheet name="results_5_fusionné" sheetId="9" r:id="rId6"/>
    <sheet name="results_6_fusionné" sheetId="6" r:id="rId7"/>
    <sheet name="results_7_fusionné" sheetId="7" r:id="rId8"/>
    <sheet name="results_8_fusionné" sheetId="10" r:id="rId9"/>
    <sheet name="results2_fusionné" sheetId="11" r:id="rId10"/>
    <sheet name="resultsFinale_fusionné" sheetId="16" r:id="rId11"/>
    <sheet name="tps_time_100" sheetId="13" r:id="rId12"/>
    <sheet name="tps_time_1000" sheetId="14" r:id="rId13"/>
    <sheet name="tps_time_10000" sheetId="15" r:id="rId14"/>
  </sheets>
  <definedNames>
    <definedName name="DonnéesExternes_1" localSheetId="0" hidden="1">'results_0_fusionné'!$A$1:$H$51</definedName>
    <definedName name="DonnéesExternes_1" localSheetId="1" hidden="1">'results_1_fusionné'!$A$1:$H$51</definedName>
    <definedName name="DonnéesExternes_1" localSheetId="3" hidden="1">'results_3_fusionné'!$A$1:$H$51</definedName>
    <definedName name="DonnéesExternes_1" localSheetId="4" hidden="1">'results_4_fusionné'!$A$1:$H$51</definedName>
    <definedName name="DonnéesExternes_1" localSheetId="6" hidden="1">'results_6_fusionné'!$A$1:$H$51</definedName>
    <definedName name="DonnéesExternes_1" localSheetId="7" hidden="1">'results_7_fusionné'!$A$1:$H$51</definedName>
    <definedName name="DonnéesExternes_1" localSheetId="8" hidden="1">'results_8_fusionné'!$A$1:$H$51</definedName>
    <definedName name="DonnéesExternes_1" localSheetId="12" hidden="1">tps_time_1000!$A$1:$G$151</definedName>
    <definedName name="DonnéesExternes_2" localSheetId="2" hidden="1">'results_2_fusionné'!$A$1:$H$51</definedName>
    <definedName name="DonnéesExternes_2" localSheetId="5" hidden="1">'results_5_fusionné'!$A$1:$H$51</definedName>
    <definedName name="DonnéesExternes_2" localSheetId="9" hidden="1">'results2_fusionné'!$A$1:$H$19</definedName>
    <definedName name="DonnéesExternes_2" localSheetId="11" hidden="1">tps_time_100!$A$1:$G$151</definedName>
    <definedName name="DonnéesExternes_2" localSheetId="13" hidden="1">tps_time_10000!$A$1:$G$151</definedName>
    <definedName name="DonnéesExternes_3" localSheetId="10" hidden="1">'resultsFinale_fusionné'!$A$1:$H$4</definedName>
  </definedNames>
  <calcPr calcId="191029"/>
  <pivotCaches>
    <pivotCache cacheId="80" r:id="rId15"/>
    <pivotCache cacheId="81" r:id="rId16"/>
    <pivotCache cacheId="82" r:id="rId17"/>
    <pivotCache cacheId="83" r:id="rId18"/>
    <pivotCache cacheId="84" r:id="rId19"/>
    <pivotCache cacheId="85" r:id="rId20"/>
    <pivotCache cacheId="86" r:id="rId21"/>
    <pivotCache cacheId="87" r:id="rId22"/>
    <pivotCache cacheId="88" r:id="rId23"/>
    <pivotCache cacheId="89" r:id="rId24"/>
    <pivotCache cacheId="104" r:id="rId25"/>
    <pivotCache cacheId="97" r:id="rId26"/>
    <pivotCache cacheId="101" r:id="rId27"/>
    <pivotCache cacheId="108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" i="15" l="1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H4" i="15"/>
  <c r="H3" i="15"/>
  <c r="H2" i="15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H5" i="14"/>
  <c r="H4" i="14"/>
  <c r="H3" i="14"/>
  <c r="H2" i="14"/>
  <c r="H151" i="13"/>
  <c r="H150" i="13"/>
  <c r="H149" i="13"/>
  <c r="H148" i="13"/>
  <c r="H147" i="13"/>
  <c r="H146" i="13"/>
  <c r="H145" i="13"/>
  <c r="H144" i="13"/>
  <c r="H143" i="13"/>
  <c r="H142" i="13"/>
  <c r="H141" i="13"/>
  <c r="H140" i="13"/>
  <c r="H139" i="13"/>
  <c r="H138" i="13"/>
  <c r="H137" i="13"/>
  <c r="H136" i="13"/>
  <c r="H135" i="13"/>
  <c r="H134" i="13"/>
  <c r="H133" i="13"/>
  <c r="H132" i="13"/>
  <c r="H131" i="13"/>
  <c r="H130" i="13"/>
  <c r="H129" i="13"/>
  <c r="H128" i="13"/>
  <c r="H127" i="13"/>
  <c r="H126" i="13"/>
  <c r="H125" i="13"/>
  <c r="H124" i="13"/>
  <c r="H123" i="13"/>
  <c r="H122" i="13"/>
  <c r="H121" i="13"/>
  <c r="H120" i="13"/>
  <c r="H119" i="13"/>
  <c r="H118" i="13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I2" i="11"/>
  <c r="I3" i="11"/>
  <c r="I4" i="11"/>
  <c r="I8" i="11"/>
  <c r="I7" i="11"/>
  <c r="I6" i="11"/>
  <c r="I5" i="11"/>
  <c r="I11" i="11"/>
  <c r="I10" i="11"/>
  <c r="I9" i="11"/>
  <c r="I12" i="11"/>
  <c r="I13" i="11"/>
  <c r="I14" i="11"/>
  <c r="I15" i="11"/>
  <c r="I16" i="11"/>
  <c r="I17" i="11"/>
  <c r="I18" i="11"/>
  <c r="I19" i="11"/>
  <c r="I2" i="10"/>
  <c r="B58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2" i="7"/>
  <c r="B58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2" i="5"/>
  <c r="B58" i="8"/>
  <c r="I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2" i="3"/>
  <c r="B58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2" i="6"/>
  <c r="B58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B58" i="5"/>
  <c r="B57" i="4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3" i="4"/>
  <c r="B58" i="4"/>
  <c r="I2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B5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2" i="2"/>
  <c r="B5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B57" i="9" l="1"/>
  <c r="B22" i="11"/>
  <c r="B57" i="10"/>
  <c r="B57" i="7"/>
  <c r="B57" i="6"/>
  <c r="B57" i="8"/>
  <c r="B57" i="5"/>
  <c r="B57" i="3"/>
  <c r="B5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525BD7-0350-4B1F-8AF7-C193949383F9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61E13E81-E736-4A61-8B8D-549376AE53FC}" keepAlive="1" name="Requête - results_0_fusionné (2)" description="Connexion à la requête « results_0_fusionné (2) » dans le classeur." type="5" refreshedVersion="8" background="1" saveData="1">
    <dbPr connection="Provider=Microsoft.Mashup.OleDb.1;Data Source=$Workbook$;Location=&quot;results_0_fusionné (2)&quot;;Extended Properties=&quot;&quot;" command="SELECT * FROM [results_0_fusionné (2)]"/>
  </connection>
  <connection id="3" xr16:uid="{F78FDA8B-16C5-4C18-82C3-E53CF1DC073C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4" xr16:uid="{62F37C9E-2C07-442A-8CFD-D07C21876101}" keepAlive="1" name="Requête - results_1_fusionné (2)" description="Connexion à la requête « results_1_fusionné (2) » dans le classeur." type="5" refreshedVersion="8" background="1" saveData="1">
    <dbPr connection="Provider=Microsoft.Mashup.OleDb.1;Data Source=$Workbook$;Location=&quot;results_1_fusionné (2)&quot;;Extended Properties=&quot;&quot;" command="SELECT * FROM [results_1_fusionné (2)]"/>
  </connection>
  <connection id="5" xr16:uid="{4124181D-AD4A-49DA-9631-2EBA550C8BDE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6" xr16:uid="{271917DF-0577-4825-8FF0-2F90BB448579}" keepAlive="1" name="Requête - results_2_fusionné (2)" description="Connexion à la requête « results_2_fusionné (2) » dans le classeur." type="5" refreshedVersion="8" background="1" saveData="1">
    <dbPr connection="Provider=Microsoft.Mashup.OleDb.1;Data Source=$Workbook$;Location=&quot;results_2_fusionné (2)&quot;;Extended Properties=&quot;&quot;" command="SELECT * FROM [results_2_fusionné (2)]"/>
  </connection>
  <connection id="7" xr16:uid="{34F774D3-03DF-40B7-92C9-112FB03303FB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8" xr16:uid="{77C7578A-0868-4493-AEA9-1D9B462929C6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9" xr16:uid="{D964C399-6135-42C5-8445-D4A116F87E80}" keepAlive="1" name="Requête - results_5_fusionné" description="Connexion à la requête « results_5_fusionné » dans le classeur." type="5" refreshedVersion="8" background="1" saveData="1">
    <dbPr connection="Provider=Microsoft.Mashup.OleDb.1;Data Source=$Workbook$;Location=results_5_fusionné;Extended Properties=&quot;&quot;" command="SELECT * FROM [results_5_fusionné]"/>
  </connection>
  <connection id="10" xr16:uid="{36029949-FCC3-4865-B198-EE8B89EE257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11" xr16:uid="{5E92B9CA-47CC-4181-8A2A-D404DBEE7CA6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  <connection id="12" xr16:uid="{44071841-A28A-42FF-B606-B4D0FEDCB156}" keepAlive="1" name="Requête - results_8_fusionné" description="Connexion à la requête « results_8_fusionné » dans le classeur." type="5" refreshedVersion="8" background="1" saveData="1">
    <dbPr connection="Provider=Microsoft.Mashup.OleDb.1;Data Source=$Workbook$;Location=results_8_fusionné;Extended Properties=&quot;&quot;" command="SELECT * FROM [results_8_fusionné]"/>
  </connection>
  <connection id="13" xr16:uid="{F0A6744B-0998-4A25-A50F-6E7D525800FE}" keepAlive="1" name="Requête - results2_fusionné" description="Connexion à la requête « results2_fusionné » dans le classeur." type="5" refreshedVersion="8" background="1" saveData="1">
    <dbPr connection="Provider=Microsoft.Mashup.OleDb.1;Data Source=$Workbook$;Location=results2_fusionné;Extended Properties=&quot;&quot;" command="SELECT * FROM [results2_fusionné]"/>
  </connection>
  <connection id="14" xr16:uid="{DC9BF333-165E-429D-9F47-6FE91775DF5C}" keepAlive="1" name="Requête - resultsFinale_fusionné" description="Connexion à la requête « resultsFinale_fusionné » dans le classeur." type="5" refreshedVersion="8" background="1" saveData="1">
    <dbPr connection="Provider=Microsoft.Mashup.OleDb.1;Data Source=$Workbook$;Location=resultsFinale_fusionné;Extended Properties=&quot;&quot;" command="SELECT * FROM [resultsFinale_fusionné]"/>
  </connection>
</connections>
</file>

<file path=xl/sharedStrings.xml><?xml version="1.0" encoding="utf-8"?>
<sst xmlns="http://schemas.openxmlformats.org/spreadsheetml/2006/main" count="2534" uniqueCount="958">
  <si>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</si>
  <si>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</si>
  <si>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</si>
  <si>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</si>
  <si>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</si>
  <si>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</si>
  <si>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</si>
  <si>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</si>
  <si>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</si>
  <si>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47.827348470687866</t>
  </si>
  <si>
    <t>results/0/item_solutions/pi-12-100-1000-001.kna_1000000_1_items.csv</t>
  </si>
  <si>
    <t>0.0</t>
  </si>
  <si>
    <t>results/0/item_solutions/pi-12-100-1000-001.kna_1000000_10_items.csv</t>
  </si>
  <si>
    <t>0.001162052154541</t>
  </si>
  <si>
    <t>results/0/item_solutions/pi-12-100-1000-001.kna_1000000_15_items.csv</t>
  </si>
  <si>
    <t>results/0/item_solutions/pi-12-100-1000-001.kna_1000000_20_items.csv</t>
  </si>
  <si>
    <t>0.0013794898986816</t>
  </si>
  <si>
    <t>results/0/item_solutions/pi-12-100-1000-001.kna_1000000_5_items.csv</t>
  </si>
  <si>
    <t>4.911705255508423</t>
  </si>
  <si>
    <t>results/0/item_solutions/pi-12-100-1000-001.kna_100000_1_items.csv</t>
  </si>
  <si>
    <t>results/0/item_solutions/pi-12-100-1000-001.kna_100000_10_items.csv</t>
  </si>
  <si>
    <t>3.674217700958252</t>
  </si>
  <si>
    <t>results/0/item_solutions/pi-12-100-1000-001.kna_100000_15_items.csv</t>
  </si>
  <si>
    <t>0.0009984970092773</t>
  </si>
  <si>
    <t>results/0/item_solutions/pi-12-100-1000-001.kna_100000_20_items.csv</t>
  </si>
  <si>
    <t>4.1733338832855225</t>
  </si>
  <si>
    <t>results/0/item_solutions/pi-12-100-1000-001.kna_100000_5_items.csv</t>
  </si>
  <si>
    <t>0.6841146945953369</t>
  </si>
  <si>
    <t>results/0/item_solutions/pi-12-100-1000-001.kna_10000_1_items.csv</t>
  </si>
  <si>
    <t>0.0019941329956054</t>
  </si>
  <si>
    <t>results/0/item_solutions/pi-12-100-1000-001.kna_10000_10_items.csv</t>
  </si>
  <si>
    <t>0.0039925575256347</t>
  </si>
  <si>
    <t>results/0/item_solutions/pi-12-100-1000-001.kna_10000_15_items.csv</t>
  </si>
  <si>
    <t>0.0019953250885009</t>
  </si>
  <si>
    <t>results/0/item_solutions/pi-12-100-1000-001.kna_10000_20_items.csv</t>
  </si>
  <si>
    <t>0.5117642879486084</t>
  </si>
  <si>
    <t>results/0/item_solutions/pi-12-100-1000-001.kna_10000_5_items.csv</t>
  </si>
  <si>
    <t>0.0663702487945556</t>
  </si>
  <si>
    <t>results/0/item_solutions/pi-12-100-1000-001.kna_1000_1_items.csv</t>
  </si>
  <si>
    <t>0.0025446414947509</t>
  </si>
  <si>
    <t>results/0/item_solutions/pi-12-100-1000-001.kna_1000_10_items.csv</t>
  </si>
  <si>
    <t>0.0031938552856445</t>
  </si>
  <si>
    <t>results/0/item_solutions/pi-12-100-1000-001.kna_1000_15_items.csv</t>
  </si>
  <si>
    <t>0.0667009353637695</t>
  </si>
  <si>
    <t>results/0/item_solutions/pi-12-100-1000-001.kna_1000_20_items.csv</t>
  </si>
  <si>
    <t>0.0829310417175293</t>
  </si>
  <si>
    <t>results/0/item_solutions/pi-12-100-1000-001.kna_1000_5_items.csv</t>
  </si>
  <si>
    <t>0.0059912204742431</t>
  </si>
  <si>
    <t>results/0/item_solutions/pi-12-100-1000-001.kna_100_1_items.csv</t>
  </si>
  <si>
    <t>results/0/item_solutions/pi-12-100-1000-001.kna_100_10_items.csv</t>
  </si>
  <si>
    <t>0.0012164115905761</t>
  </si>
  <si>
    <t>results/0/item_solutions/pi-12-100-1000-001.kna_100_15_items.csv</t>
  </si>
  <si>
    <t>0.000993013381958</t>
  </si>
  <si>
    <t>results/0/item_solutions/pi-12-100-1000-001.kna_100_20_items.csv</t>
  </si>
  <si>
    <t>0.0060231685638427</t>
  </si>
  <si>
    <t>results/0/item_solutions/pi-12-100-1000-001.kna_100_5_items.csv</t>
  </si>
  <si>
    <t>25.204922676086422</t>
  </si>
  <si>
    <t>results/0/item_solutions/pi-12-100-1000-001.kna_500000_1_items.csv</t>
  </si>
  <si>
    <t>0.0010476112365722</t>
  </si>
  <si>
    <t>results/0/item_solutions/pi-12-100-1000-001.kna_500000_10_items.csv</t>
  </si>
  <si>
    <t>0.0037882328033447</t>
  </si>
  <si>
    <t>results/0/item_solutions/pi-12-100-1000-001.kna_500000_15_items.csv</t>
  </si>
  <si>
    <t>0.0021235942840576</t>
  </si>
  <si>
    <t>results/0/item_solutions/pi-12-100-1000-001.kna_500000_20_items.csv</t>
  </si>
  <si>
    <t>0.0019843578338623</t>
  </si>
  <si>
    <t>results/0/item_solutions/pi-12-100-1000-001.kna_500000_5_items.csv</t>
  </si>
  <si>
    <t>3.939992904663086</t>
  </si>
  <si>
    <t>results/0/item_solutions/pi-12-100-1000-001.kna_50000_1_items.csv</t>
  </si>
  <si>
    <t>0.0015130043029785</t>
  </si>
  <si>
    <t>results/0/item_solutions/pi-12-100-1000-001.kna_50000_10_items.csv</t>
  </si>
  <si>
    <t>0.0011842250823974</t>
  </si>
  <si>
    <t>results/0/item_solutions/pi-12-100-1000-001.kna_50000_15_items.csv</t>
  </si>
  <si>
    <t>0.0010817050933837</t>
  </si>
  <si>
    <t>results/0/item_solutions/pi-12-100-1000-001.kna_50000_20_items.csv</t>
  </si>
  <si>
    <t>2.343127012252808</t>
  </si>
  <si>
    <t>results/0/item_solutions/pi-12-100-1000-001.kna_50000_5_items.csv</t>
  </si>
  <si>
    <t>0.2890429496765136</t>
  </si>
  <si>
    <t>results/0/item_solutions/pi-12-100-1000-001.kna_5000_1_items.csv</t>
  </si>
  <si>
    <t>results/0/item_solutions/pi-12-100-1000-001.kna_5000_10_items.csv</t>
  </si>
  <si>
    <t>0.0010185241699218</t>
  </si>
  <si>
    <t>results/0/item_solutions/pi-12-100-1000-001.kna_5000_15_items.csv</t>
  </si>
  <si>
    <t>0.0024068355560302</t>
  </si>
  <si>
    <t>results/0/item_solutions/pi-12-100-1000-001.kna_5000_20_items.csv</t>
  </si>
  <si>
    <t>0.0010056495666503</t>
  </si>
  <si>
    <t>results/0/item_solutions/pi-12-100-1000-001.kna_5000_5_items.csv</t>
  </si>
  <si>
    <t>0.0221638679504394</t>
  </si>
  <si>
    <t>results/0/item_solutions/pi-12-100-1000-001.kna_500_1_items.csv</t>
  </si>
  <si>
    <t>0.0334725379943847</t>
  </si>
  <si>
    <t>results/0/item_solutions/pi-12-100-1000-001.kna_500_10_items.csv</t>
  </si>
  <si>
    <t>0.0010435581207275</t>
  </si>
  <si>
    <t>results/0/item_solutions/pi-12-100-1000-001.kna_500_15_items.csv</t>
  </si>
  <si>
    <t>0.0042078495025634</t>
  </si>
  <si>
    <t>results/0/item_solutions/pi-12-100-1000-001.kna_500_20_items.csv</t>
  </si>
  <si>
    <t>results/0/item_solutions/pi-12-100-1000-001.kna_500_5_items.csv</t>
  </si>
  <si>
    <t>0.0239686965942382</t>
  </si>
  <si>
    <t>results/0/item_solutions/pi-12-100-1000-001.kna_50_1_items.csv</t>
  </si>
  <si>
    <t>results/0/item_solutions/pi-12-100-1000-001.kna_50_10_items.csv</t>
  </si>
  <si>
    <t>0.0010437965393066</t>
  </si>
  <si>
    <t>results/0/item_solutions/pi-12-100-1000-001.kna_50_15_items.csv</t>
  </si>
  <si>
    <t>results/0/item_solutions/pi-12-100-1000-001.kna_50_20_items.csv</t>
  </si>
  <si>
    <t>0.0010702610015869</t>
  </si>
  <si>
    <t>results/0/item_solutions/pi-12-100-1000-001.kna_50_5_items.csv</t>
  </si>
  <si>
    <t>tps_nb</t>
  </si>
  <si>
    <t>Exec_time_average</t>
  </si>
  <si>
    <t>Max_total_profit_found</t>
  </si>
  <si>
    <t>Étiquettes de lignes</t>
  </si>
  <si>
    <t>Total général</t>
  </si>
  <si>
    <t>Somme de Total profit</t>
  </si>
  <si>
    <t>Moyenne de Total profit</t>
  </si>
  <si>
    <t>pi-12-1000-1000-001.kna</t>
  </si>
  <si>
    <t>271.08083319664</t>
  </si>
  <si>
    <t>results/1/item_solutions/pi-12-1000-1000-001.kna_1000000_1_items.csv</t>
  </si>
  <si>
    <t>251.1317727565765</t>
  </si>
  <si>
    <t>results/1/item_solutions/pi-12-1000-1000-001.kna_1000000_10_items.csv</t>
  </si>
  <si>
    <t>200.94095134735107</t>
  </si>
  <si>
    <t>results/1/item_solutions/pi-12-1000-1000-001.kna_1000000_15_items.csv</t>
  </si>
  <si>
    <t>267.1831636428833</t>
  </si>
  <si>
    <t>results/1/item_solutions/pi-12-1000-1000-001.kna_1000000_20_items.csv</t>
  </si>
  <si>
    <t>332.2588703632355</t>
  </si>
  <si>
    <t>results/1/item_solutions/pi-12-1000-1000-001.kna_1000000_5_items.csv</t>
  </si>
  <si>
    <t>26.69176745414734</t>
  </si>
  <si>
    <t>results/1/item_solutions/pi-12-1000-1000-001.kna_100000_1_items.csv</t>
  </si>
  <si>
    <t>24.015660285949707</t>
  </si>
  <si>
    <t>results/1/item_solutions/pi-12-1000-1000-001.kna_100000_10_items.csv</t>
  </si>
  <si>
    <t>27.432199716567997</t>
  </si>
  <si>
    <t>results/1/item_solutions/pi-12-1000-1000-001.kna_100000_15_items.csv</t>
  </si>
  <si>
    <t>29.74497103691101</t>
  </si>
  <si>
    <t>results/1/item_solutions/pi-12-1000-1000-001.kna_100000_20_items.csv</t>
  </si>
  <si>
    <t>24.386036157608032</t>
  </si>
  <si>
    <t>results/1/item_solutions/pi-12-1000-1000-001.kna_100000_5_items.csv</t>
  </si>
  <si>
    <t>2.2105422019958496</t>
  </si>
  <si>
    <t>results/1/item_solutions/pi-12-1000-1000-001.kna_10000_1_items.csv</t>
  </si>
  <si>
    <t>2.273202419281006</t>
  </si>
  <si>
    <t>results/1/item_solutions/pi-12-1000-1000-001.kna_10000_10_items.csv</t>
  </si>
  <si>
    <t>2.735210418701172</t>
  </si>
  <si>
    <t>results/1/item_solutions/pi-12-1000-1000-001.kna_10000_15_items.csv</t>
  </si>
  <si>
    <t>2.079288959503174</t>
  </si>
  <si>
    <t>results/1/item_solutions/pi-12-1000-1000-001.kna_10000_20_items.csv</t>
  </si>
  <si>
    <t>1.95346999168396</t>
  </si>
  <si>
    <t>results/1/item_solutions/pi-12-1000-1000-001.kna_10000_5_items.csv</t>
  </si>
  <si>
    <t>0.2186875343322754</t>
  </si>
  <si>
    <t>results/1/item_solutions/pi-12-1000-1000-001.kna_1000_1_items.csv</t>
  </si>
  <si>
    <t>0.2182381153106689</t>
  </si>
  <si>
    <t>results/1/item_solutions/pi-12-1000-1000-001.kna_1000_10_items.csv</t>
  </si>
  <si>
    <t>0.2766904830932617</t>
  </si>
  <si>
    <t>results/1/item_solutions/pi-12-1000-1000-001.kna_1000_15_items.csv</t>
  </si>
  <si>
    <t>0.2378828525543213</t>
  </si>
  <si>
    <t>results/1/item_solutions/pi-12-1000-1000-001.kna_1000_20_items.csv</t>
  </si>
  <si>
    <t>0.2913706302642822</t>
  </si>
  <si>
    <t>results/1/item_solutions/pi-12-1000-1000-001.kna_1000_5_items.csv</t>
  </si>
  <si>
    <t>0.0210342407226562</t>
  </si>
  <si>
    <t>results/1/item_solutions/pi-12-1000-1000-001.kna_100_1_items.csv</t>
  </si>
  <si>
    <t>0.0302066802978515</t>
  </si>
  <si>
    <t>results/1/item_solutions/pi-12-1000-1000-001.kna_100_10_items.csv</t>
  </si>
  <si>
    <t>0.0280330181121826</t>
  </si>
  <si>
    <t>results/1/item_solutions/pi-12-1000-1000-001.kna_100_15_items.csv</t>
  </si>
  <si>
    <t>0.0311417579650878</t>
  </si>
  <si>
    <t>results/1/item_solutions/pi-12-1000-1000-001.kna_100_20_items.csv</t>
  </si>
  <si>
    <t>0.0260205268859863</t>
  </si>
  <si>
    <t>results/1/item_solutions/pi-12-1000-1000-001.kna_100_5_items.csv</t>
  </si>
  <si>
    <t>149.51319432258606</t>
  </si>
  <si>
    <t>results/1/item_solutions/pi-12-1000-1000-001.kna_500000_1_items.csv</t>
  </si>
  <si>
    <t>117.74605417251588</t>
  </si>
  <si>
    <t>results/1/item_solutions/pi-12-1000-1000-001.kna_500000_10_items.csv</t>
  </si>
  <si>
    <t>127.34297037124634</t>
  </si>
  <si>
    <t>results/1/item_solutions/pi-12-1000-1000-001.kna_500000_15_items.csv</t>
  </si>
  <si>
    <t>132.48358607292175</t>
  </si>
  <si>
    <t>results/1/item_solutions/pi-12-1000-1000-001.kna_500000_20_items.csv</t>
  </si>
  <si>
    <t>130.34318709373474</t>
  </si>
  <si>
    <t>results/1/item_solutions/pi-12-1000-1000-001.kna_500000_5_items.csv</t>
  </si>
  <si>
    <t>10.025272369384766</t>
  </si>
  <si>
    <t>results/1/item_solutions/pi-12-1000-1000-001.kna_50000_1_items.csv</t>
  </si>
  <si>
    <t>14.63386583328247</t>
  </si>
  <si>
    <t>results/1/item_solutions/pi-12-1000-1000-001.kna_50000_10_items.csv</t>
  </si>
  <si>
    <t>11.29798698425293</t>
  </si>
  <si>
    <t>results/1/item_solutions/pi-12-1000-1000-001.kna_50000_15_items.csv</t>
  </si>
  <si>
    <t>11.255826711654665</t>
  </si>
  <si>
    <t>results/1/item_solutions/pi-12-1000-1000-001.kna_50000_20_items.csv</t>
  </si>
  <si>
    <t>12.47083592414856</t>
  </si>
  <si>
    <t>results/1/item_solutions/pi-12-1000-1000-001.kna_50000_5_items.csv</t>
  </si>
  <si>
    <t>1.0353460311889648</t>
  </si>
  <si>
    <t>results/1/item_solutions/pi-12-1000-1000-001.kna_5000_1_items.csv</t>
  </si>
  <si>
    <t>1.2026267051696775</t>
  </si>
  <si>
    <t>results/1/item_solutions/pi-12-1000-1000-001.kna_5000_10_items.csv</t>
  </si>
  <si>
    <t>1.0795416831970217</t>
  </si>
  <si>
    <t>results/1/item_solutions/pi-12-1000-1000-001.kna_5000_15_items.csv</t>
  </si>
  <si>
    <t>1.3187153339385986</t>
  </si>
  <si>
    <t>results/1/item_solutions/pi-12-1000-1000-001.kna_5000_20_items.csv</t>
  </si>
  <si>
    <t>1.2598962783813477</t>
  </si>
  <si>
    <t>results/1/item_solutions/pi-12-1000-1000-001.kna_5000_5_items.csv</t>
  </si>
  <si>
    <t>0.11668062210083</t>
  </si>
  <si>
    <t>results/1/item_solutions/pi-12-1000-1000-001.kna_500_1_items.csv</t>
  </si>
  <si>
    <t>0.1127166748046875</t>
  </si>
  <si>
    <t>results/1/item_solutions/pi-12-1000-1000-001.kna_500_10_items.csv</t>
  </si>
  <si>
    <t>0.1071124076843261</t>
  </si>
  <si>
    <t>results/1/item_solutions/pi-12-1000-1000-001.kna_500_15_items.csv</t>
  </si>
  <si>
    <t>0.1321973800659179</t>
  </si>
  <si>
    <t>results/1/item_solutions/pi-12-1000-1000-001.kna_500_20_items.csv</t>
  </si>
  <si>
    <t>0.1184883117675781</t>
  </si>
  <si>
    <t>results/1/item_solutions/pi-12-1000-1000-001.kna_500_5_items.csv</t>
  </si>
  <si>
    <t>0.0100011825561523</t>
  </si>
  <si>
    <t>results/1/item_solutions/pi-12-1000-1000-001.kna_50_1_items.csv</t>
  </si>
  <si>
    <t>0.0145032405853271</t>
  </si>
  <si>
    <t>results/1/item_solutions/pi-12-1000-1000-001.kna_50_10_items.csv</t>
  </si>
  <si>
    <t>0.0119996070861816</t>
  </si>
  <si>
    <t>results/1/item_solutions/pi-12-1000-1000-001.kna_50_15_items.csv</t>
  </si>
  <si>
    <t>0.0169992446899414</t>
  </si>
  <si>
    <t>results/1/item_solutions/pi-12-1000-1000-001.kna_50_20_items.csv</t>
  </si>
  <si>
    <t>0.0120341777801513</t>
  </si>
  <si>
    <t>results/1/item_solutions/pi-12-1000-1000-001.kna_50_5_items.csv</t>
  </si>
  <si>
    <t>pi-13-100-1000-001.kna</t>
  </si>
  <si>
    <t>32.525567293167114</t>
  </si>
  <si>
    <t>results/3/item_solutions/pi-13-100-1000-001.kna_1000000_1_items.csv</t>
  </si>
  <si>
    <t>32.90218544006348</t>
  </si>
  <si>
    <t>results/3/item_solutions/pi-13-100-1000-001.kna_1000000_10_items.csv</t>
  </si>
  <si>
    <t>34.493696451187134</t>
  </si>
  <si>
    <t>results/3/item_solutions/pi-13-100-1000-001.kna_1000000_15_items.csv</t>
  </si>
  <si>
    <t>33.52549433708191</t>
  </si>
  <si>
    <t>results/3/item_solutions/pi-13-100-1000-001.kna_1000000_20_items.csv</t>
  </si>
  <si>
    <t>28.66398549079895</t>
  </si>
  <si>
    <t>results/3/item_solutions/pi-13-100-1000-001.kna_1000000_5_items.csv</t>
  </si>
  <si>
    <t>2.9671339988708496</t>
  </si>
  <si>
    <t>results/3/item_solutions/pi-13-100-1000-001.kna_100000_1_items.csv</t>
  </si>
  <si>
    <t>3.2131130695343018</t>
  </si>
  <si>
    <t>results/3/item_solutions/pi-13-100-1000-001.kna_100000_10_items.csv</t>
  </si>
  <si>
    <t>3.614180326461792</t>
  </si>
  <si>
    <t>results/3/item_solutions/pi-13-100-1000-001.kna_100000_15_items.csv</t>
  </si>
  <si>
    <t>3.517341375350952</t>
  </si>
  <si>
    <t>results/3/item_solutions/pi-13-100-1000-001.kna_100000_20_items.csv</t>
  </si>
  <si>
    <t>3.6816494464874263</t>
  </si>
  <si>
    <t>results/3/item_solutions/pi-13-100-1000-001.kna_100000_5_items.csv</t>
  </si>
  <si>
    <t>0.3237948417663574</t>
  </si>
  <si>
    <t>results/3/item_solutions/pi-13-100-1000-001.kna_10000_1_items.csv</t>
  </si>
  <si>
    <t>0.3486459255218506</t>
  </si>
  <si>
    <t>results/3/item_solutions/pi-13-100-1000-001.kna_10000_10_items.csv</t>
  </si>
  <si>
    <t>0.3667256832122803</t>
  </si>
  <si>
    <t>results/3/item_solutions/pi-13-100-1000-001.kna_10000_15_items.csv</t>
  </si>
  <si>
    <t>0.3322145938873291</t>
  </si>
  <si>
    <t>results/3/item_solutions/pi-13-100-1000-001.kna_10000_20_items.csv</t>
  </si>
  <si>
    <t>0.3256237506866455</t>
  </si>
  <si>
    <t>results/3/item_solutions/pi-13-100-1000-001.kna_10000_5_items.csv</t>
  </si>
  <si>
    <t>0.0319695472717285</t>
  </si>
  <si>
    <t>results/3/item_solutions/pi-13-100-1000-001.kna_1000_1_items.csv</t>
  </si>
  <si>
    <t>0.0405163764953613</t>
  </si>
  <si>
    <t>results/3/item_solutions/pi-13-100-1000-001.kna_1000_10_items.csv</t>
  </si>
  <si>
    <t>0.035041332244873</t>
  </si>
  <si>
    <t>results/3/item_solutions/pi-13-100-1000-001.kna_1000_15_items.csv</t>
  </si>
  <si>
    <t>0.0341572761535644</t>
  </si>
  <si>
    <t>results/3/item_solutions/pi-13-100-1000-001.kna_1000_20_items.csv</t>
  </si>
  <si>
    <t>0.0320005416870117</t>
  </si>
  <si>
    <t>results/3/item_solutions/pi-13-100-1000-001.kna_1000_5_items.csv</t>
  </si>
  <si>
    <t>0.0030357837677001</t>
  </si>
  <si>
    <t>results/3/item_solutions/pi-13-100-1000-001.kna_100_1_items.csv</t>
  </si>
  <si>
    <t>results/3/item_solutions/pi-13-100-1000-001.kna_100_10_items.csv</t>
  </si>
  <si>
    <t>0.003962755203247</t>
  </si>
  <si>
    <t>results/3/item_solutions/pi-13-100-1000-001.kna_100_15_items.csv</t>
  </si>
  <si>
    <t>0.0039992332458496</t>
  </si>
  <si>
    <t>results/3/item_solutions/pi-13-100-1000-001.kna_100_20_items.csv</t>
  </si>
  <si>
    <t>0.0029983520507812</t>
  </si>
  <si>
    <t>results/3/item_solutions/pi-13-100-1000-001.kna_100_5_items.csv</t>
  </si>
  <si>
    <t>18.64244627952576</t>
  </si>
  <si>
    <t>results/3/item_solutions/pi-13-100-1000-001.kna_500000_1_items.csv</t>
  </si>
  <si>
    <t>17.75822114944458</t>
  </si>
  <si>
    <t>results/3/item_solutions/pi-13-100-1000-001.kna_500000_10_items.csv</t>
  </si>
  <si>
    <t>22.019073486328125</t>
  </si>
  <si>
    <t>results/3/item_solutions/pi-13-100-1000-001.kna_500000_15_items.csv</t>
  </si>
  <si>
    <t>23.397507667541504</t>
  </si>
  <si>
    <t>results/3/item_solutions/pi-13-100-1000-001.kna_500000_20_items.csv</t>
  </si>
  <si>
    <t>15.385166645050049</t>
  </si>
  <si>
    <t>results/3/item_solutions/pi-13-100-1000-001.kna_500000_5_items.csv</t>
  </si>
  <si>
    <t>1.473513126373291</t>
  </si>
  <si>
    <t>results/3/item_solutions/pi-13-100-1000-001.kna_50000_1_items.csv</t>
  </si>
  <si>
    <t>1.6426265239715576</t>
  </si>
  <si>
    <t>results/3/item_solutions/pi-13-100-1000-001.kna_50000_10_items.csv</t>
  </si>
  <si>
    <t>1.6228981018066406</t>
  </si>
  <si>
    <t>results/3/item_solutions/pi-13-100-1000-001.kna_50000_15_items.csv</t>
  </si>
  <si>
    <t>1.7622015476226809</t>
  </si>
  <si>
    <t>results/3/item_solutions/pi-13-100-1000-001.kna_50000_20_items.csv</t>
  </si>
  <si>
    <t>1.6156044006347656</t>
  </si>
  <si>
    <t>results/3/item_solutions/pi-13-100-1000-001.kna_50000_5_items.csv</t>
  </si>
  <si>
    <t>0.1520452499389648</t>
  </si>
  <si>
    <t>results/3/item_solutions/pi-13-100-1000-001.kna_5000_1_items.csv</t>
  </si>
  <si>
    <t>0.156991958618164</t>
  </si>
  <si>
    <t>results/3/item_solutions/pi-13-100-1000-001.kna_5000_10_items.csv</t>
  </si>
  <si>
    <t>0.166736364364624</t>
  </si>
  <si>
    <t>results/3/item_solutions/pi-13-100-1000-001.kna_5000_15_items.csv</t>
  </si>
  <si>
    <t>0.1861524581909179</t>
  </si>
  <si>
    <t>results/3/item_solutions/pi-13-100-1000-001.kna_5000_20_items.csv</t>
  </si>
  <si>
    <t>0.1572208404541015</t>
  </si>
  <si>
    <t>results/3/item_solutions/pi-13-100-1000-001.kna_5000_5_items.csv</t>
  </si>
  <si>
    <t>0.0199661254882812</t>
  </si>
  <si>
    <t>results/3/item_solutions/pi-13-100-1000-001.kna_500_1_items.csv</t>
  </si>
  <si>
    <t>0.0159835815429687</t>
  </si>
  <si>
    <t>results/3/item_solutions/pi-13-100-1000-001.kna_500_10_items.csv</t>
  </si>
  <si>
    <t>0.0150339603424072</t>
  </si>
  <si>
    <t>results/3/item_solutions/pi-13-100-1000-001.kna_500_15_items.csv</t>
  </si>
  <si>
    <t>0.0184037685394287</t>
  </si>
  <si>
    <t>results/3/item_solutions/pi-13-100-1000-001.kna_500_20_items.csv</t>
  </si>
  <si>
    <t>0.0187957286834716</t>
  </si>
  <si>
    <t>results/3/item_solutions/pi-13-100-1000-001.kna_500_5_items.csv</t>
  </si>
  <si>
    <t>0.0019991397857666</t>
  </si>
  <si>
    <t>results/3/item_solutions/pi-13-100-1000-001.kna_50_1_items.csv</t>
  </si>
  <si>
    <t>0.0020153522491455</t>
  </si>
  <si>
    <t>results/3/item_solutions/pi-13-100-1000-001.kna_50_10_items.csv</t>
  </si>
  <si>
    <t>0.0020334720611572</t>
  </si>
  <si>
    <t>results/3/item_solutions/pi-13-100-1000-001.kna_50_15_items.csv</t>
  </si>
  <si>
    <t>0.0020322799682617</t>
  </si>
  <si>
    <t>results/3/item_solutions/pi-13-100-1000-001.kna_50_20_items.csv</t>
  </si>
  <si>
    <t>0.0020039081573486</t>
  </si>
  <si>
    <t>results/3/item_solutions/pi-13-100-1000-001.kna_50_5_items.csv</t>
  </si>
  <si>
    <t>pi-13-1000-1000-001.kna</t>
  </si>
  <si>
    <t>213.026136636734</t>
  </si>
  <si>
    <t>results/4/item_solutions/pi-13-1000-1000-001.kna_1000000_1_items.csv</t>
  </si>
  <si>
    <t>259.6795561313629</t>
  </si>
  <si>
    <t>results/4/item_solutions/pi-13-1000-1000-001.kna_1000000_10_items.csv</t>
  </si>
  <si>
    <t>260.35935616493225</t>
  </si>
  <si>
    <t>results/4/item_solutions/pi-13-1000-1000-001.kna_1000000_15_items.csv</t>
  </si>
  <si>
    <t>268.4213345050812</t>
  </si>
  <si>
    <t>results/4/item_solutions/pi-13-1000-1000-001.kna_1000000_20_items.csv</t>
  </si>
  <si>
    <t>239.14586734771729</t>
  </si>
  <si>
    <t>results/4/item_solutions/pi-13-1000-1000-001.kna_1000000_5_items.csv</t>
  </si>
  <si>
    <t>25.41683888435364</t>
  </si>
  <si>
    <t>results/4/item_solutions/pi-13-1000-1000-001.kna_100000_1_items.csv</t>
  </si>
  <si>
    <t>25.507731199264526</t>
  </si>
  <si>
    <t>results/4/item_solutions/pi-13-1000-1000-001.kna_100000_10_items.csv</t>
  </si>
  <si>
    <t>24.171571731567383</t>
  </si>
  <si>
    <t>results/4/item_solutions/pi-13-1000-1000-001.kna_100000_15_items.csv</t>
  </si>
  <si>
    <t>24.58322811126709</t>
  </si>
  <si>
    <t>results/4/item_solutions/pi-13-1000-1000-001.kna_100000_20_items.csv</t>
  </si>
  <si>
    <t>29.87107563018799</t>
  </si>
  <si>
    <t>results/4/item_solutions/pi-13-1000-1000-001.kna_100000_5_items.csv</t>
  </si>
  <si>
    <t>2.506472110748291</t>
  </si>
  <si>
    <t>results/4/item_solutions/pi-13-1000-1000-001.kna_10000_1_items.csv</t>
  </si>
  <si>
    <t>2.1455841064453125</t>
  </si>
  <si>
    <t>results/4/item_solutions/pi-13-1000-1000-001.kna_10000_10_items.csv</t>
  </si>
  <si>
    <t>2.508488416671753</t>
  </si>
  <si>
    <t>results/4/item_solutions/pi-13-1000-1000-001.kna_10000_15_items.csv</t>
  </si>
  <si>
    <t>2.609340190887451</t>
  </si>
  <si>
    <t>results/4/item_solutions/pi-13-1000-1000-001.kna_10000_20_items.csv</t>
  </si>
  <si>
    <t>2.311819553375244</t>
  </si>
  <si>
    <t>results/4/item_solutions/pi-13-1000-1000-001.kna_10000_5_items.csv</t>
  </si>
  <si>
    <t>0.2347142696380615</t>
  </si>
  <si>
    <t>results/4/item_solutions/pi-13-1000-1000-001.kna_1000_1_items.csv</t>
  </si>
  <si>
    <t>0.2636470794677734</t>
  </si>
  <si>
    <t>results/4/item_solutions/pi-13-1000-1000-001.kna_1000_10_items.csv</t>
  </si>
  <si>
    <t>0.2306275367736816</t>
  </si>
  <si>
    <t>results/4/item_solutions/pi-13-1000-1000-001.kna_1000_15_items.csv</t>
  </si>
  <si>
    <t>0.2509124279022217</t>
  </si>
  <si>
    <t>results/4/item_solutions/pi-13-1000-1000-001.kna_1000_20_items.csv</t>
  </si>
  <si>
    <t>0.2347674369812011</t>
  </si>
  <si>
    <t>results/4/item_solutions/pi-13-1000-1000-001.kna_1000_5_items.csv</t>
  </si>
  <si>
    <t>0.0279996395111084</t>
  </si>
  <si>
    <t>results/4/item_solutions/pi-13-1000-1000-001.kna_100_1_items.csv</t>
  </si>
  <si>
    <t>0.0239753723144531</t>
  </si>
  <si>
    <t>results/4/item_solutions/pi-13-1000-1000-001.kna_100_10_items.csv</t>
  </si>
  <si>
    <t>0.0299999713897705</t>
  </si>
  <si>
    <t>results/4/item_solutions/pi-13-1000-1000-001.kna_100_15_items.csv</t>
  </si>
  <si>
    <t>0.0240423679351806</t>
  </si>
  <si>
    <t>results/4/item_solutions/pi-13-1000-1000-001.kna_100_20_items.csv</t>
  </si>
  <si>
    <t>0.0290296077728271</t>
  </si>
  <si>
    <t>results/4/item_solutions/pi-13-1000-1000-001.kna_100_5_items.csv</t>
  </si>
  <si>
    <t>99.01526808738708</t>
  </si>
  <si>
    <t>results/4/item_solutions/pi-13-1000-1000-001.kna_500000_1_items.csv</t>
  </si>
  <si>
    <t>143.12851238250732</t>
  </si>
  <si>
    <t>results/4/item_solutions/pi-13-1000-1000-001.kna_500000_10_items.csv</t>
  </si>
  <si>
    <t>151.14641952514648</t>
  </si>
  <si>
    <t>results/4/item_solutions/pi-13-1000-1000-001.kna_500000_15_items.csv</t>
  </si>
  <si>
    <t>125.42586922645567</t>
  </si>
  <si>
    <t>results/4/item_solutions/pi-13-1000-1000-001.kna_500000_20_items.csv</t>
  </si>
  <si>
    <t>133.3496572971344</t>
  </si>
  <si>
    <t>results/4/item_solutions/pi-13-1000-1000-001.kna_500000_5_items.csv</t>
  </si>
  <si>
    <t>11.113141298294067</t>
  </si>
  <si>
    <t>results/4/item_solutions/pi-13-1000-1000-001.kna_50000_1_items.csv</t>
  </si>
  <si>
    <t>11.99353551864624</t>
  </si>
  <si>
    <t>results/4/item_solutions/pi-13-1000-1000-001.kna_50000_10_items.csv</t>
  </si>
  <si>
    <t>15.071959257125854</t>
  </si>
  <si>
    <t>results/4/item_solutions/pi-13-1000-1000-001.kna_50000_15_items.csv</t>
  </si>
  <si>
    <t>13.135695457458496</t>
  </si>
  <si>
    <t>results/4/item_solutions/pi-13-1000-1000-001.kna_50000_20_items.csv</t>
  </si>
  <si>
    <t>11.11534833908081</t>
  </si>
  <si>
    <t>results/4/item_solutions/pi-13-1000-1000-001.kna_50000_5_items.csv</t>
  </si>
  <si>
    <t>1.2119309902191162</t>
  </si>
  <si>
    <t>results/4/item_solutions/pi-13-1000-1000-001.kna_5000_1_items.csv</t>
  </si>
  <si>
    <t>1.4484531879425049</t>
  </si>
  <si>
    <t>results/4/item_solutions/pi-13-1000-1000-001.kna_5000_10_items.csv</t>
  </si>
  <si>
    <t>1.2206552028656006</t>
  </si>
  <si>
    <t>results/4/item_solutions/pi-13-1000-1000-001.kna_5000_15_items.csv</t>
  </si>
  <si>
    <t>1.21797513961792</t>
  </si>
  <si>
    <t>results/4/item_solutions/pi-13-1000-1000-001.kna_5000_20_items.csv</t>
  </si>
  <si>
    <t>1.3949222564697266</t>
  </si>
  <si>
    <t>results/4/item_solutions/pi-13-1000-1000-001.kna_5000_5_items.csv</t>
  </si>
  <si>
    <t>0.1075139045715332</t>
  </si>
  <si>
    <t>results/4/item_solutions/pi-13-1000-1000-001.kna_500_1_items.csv</t>
  </si>
  <si>
    <t>0.121551513671875</t>
  </si>
  <si>
    <t>results/4/item_solutions/pi-13-1000-1000-001.kna_500_10_items.csv</t>
  </si>
  <si>
    <t>0.1361401081085205</t>
  </si>
  <si>
    <t>results/4/item_solutions/pi-13-1000-1000-001.kna_500_15_items.csv</t>
  </si>
  <si>
    <t>0.1275420188903808</t>
  </si>
  <si>
    <t>results/4/item_solutions/pi-13-1000-1000-001.kna_500_20_items.csv</t>
  </si>
  <si>
    <t>0.1210343837738037</t>
  </si>
  <si>
    <t>results/4/item_solutions/pi-13-1000-1000-001.kna_500_5_items.csv</t>
  </si>
  <si>
    <t>0.011998176574707</t>
  </si>
  <si>
    <t>results/4/item_solutions/pi-13-1000-1000-001.kna_50_1_items.csv</t>
  </si>
  <si>
    <t>0.0150332450866699</t>
  </si>
  <si>
    <t>results/4/item_solutions/pi-13-1000-1000-001.kna_50_10_items.csv</t>
  </si>
  <si>
    <t>0.0170750617980957</t>
  </si>
  <si>
    <t>results/4/item_solutions/pi-13-1000-1000-001.kna_50_15_items.csv</t>
  </si>
  <si>
    <t>0.0139977931976318</t>
  </si>
  <si>
    <t>results/4/item_solutions/pi-13-1000-1000-001.kna_50_20_items.csv</t>
  </si>
  <si>
    <t>0.0130348205566406</t>
  </si>
  <si>
    <t>results/4/item_solutions/pi-13-1000-1000-001.kna_50_5_items.csv</t>
  </si>
  <si>
    <t>pi-15-100-1000-001.kna</t>
  </si>
  <si>
    <t>19.119575262069706</t>
  </si>
  <si>
    <t>results/6/item_solutions/pi-15-100-1000-001.kna_1000000_1_items.csv</t>
  </si>
  <si>
    <t>0.0009691715240478</t>
  </si>
  <si>
    <t>results/6/item_solutions/pi-15-100-1000-001.kna_1000000_10_items.csv</t>
  </si>
  <si>
    <t>0.0019989013671875</t>
  </si>
  <si>
    <t>results/6/item_solutions/pi-15-100-1000-001.kna_1000000_15_items.csv</t>
  </si>
  <si>
    <t>0.0010018348693847</t>
  </si>
  <si>
    <t>results/6/item_solutions/pi-15-100-1000-001.kna_1000000_20_items.csv</t>
  </si>
  <si>
    <t>23.432671546936035</t>
  </si>
  <si>
    <t>results/6/item_solutions/pi-15-100-1000-001.kna_1000000_5_items.csv</t>
  </si>
  <si>
    <t>1.9012548923492432</t>
  </si>
  <si>
    <t>results/6/item_solutions/pi-15-100-1000-001.kna_100000_1_items.csv</t>
  </si>
  <si>
    <t>0.0010004043579101</t>
  </si>
  <si>
    <t>results/6/item_solutions/pi-15-100-1000-001.kna_100000_10_items.csv</t>
  </si>
  <si>
    <t>2.513124704360962</t>
  </si>
  <si>
    <t>results/6/item_solutions/pi-15-100-1000-001.kna_100000_15_items.csv</t>
  </si>
  <si>
    <t>2.3696627616882324</t>
  </si>
  <si>
    <t>results/6/item_solutions/pi-15-100-1000-001.kna_100000_20_items.csv</t>
  </si>
  <si>
    <t>2.176194429397583</t>
  </si>
  <si>
    <t>results/6/item_solutions/pi-15-100-1000-001.kna_100000_5_items.csv</t>
  </si>
  <si>
    <t>0.20918869972229</t>
  </si>
  <si>
    <t>results/6/item_solutions/pi-15-100-1000-001.kna_10000_1_items.csv</t>
  </si>
  <si>
    <t>0.2362246513366699</t>
  </si>
  <si>
    <t>results/6/item_solutions/pi-15-100-1000-001.kna_10000_10_items.csv</t>
  </si>
  <si>
    <t>0.0009679794311523</t>
  </si>
  <si>
    <t>results/6/item_solutions/pi-15-100-1000-001.kna_10000_15_items.csv</t>
  </si>
  <si>
    <t>0.0009963512420654</t>
  </si>
  <si>
    <t>results/6/item_solutions/pi-15-100-1000-001.kna_10000_20_items.csv</t>
  </si>
  <si>
    <t>0.2845633029937744</t>
  </si>
  <si>
    <t>results/6/item_solutions/pi-15-100-1000-001.kna_10000_5_items.csv</t>
  </si>
  <si>
    <t>0.0230319499969482</t>
  </si>
  <si>
    <t>results/6/item_solutions/pi-15-100-1000-001.kna_1000_1_items.csv</t>
  </si>
  <si>
    <t>0.0239992141723632</t>
  </si>
  <si>
    <t>results/6/item_solutions/pi-15-100-1000-001.kna_1000_10_items.csv</t>
  </si>
  <si>
    <t>0.0010032653808593</t>
  </si>
  <si>
    <t>results/6/item_solutions/pi-15-100-1000-001.kna_1000_15_items.csv</t>
  </si>
  <si>
    <t>results/6/item_solutions/pi-15-100-1000-001.kna_1000_20_items.csv</t>
  </si>
  <si>
    <t>0.0231609344482421</t>
  </si>
  <si>
    <t>results/6/item_solutions/pi-15-100-1000-001.kna_1000_5_items.csv</t>
  </si>
  <si>
    <t>0.0030345916748046</t>
  </si>
  <si>
    <t>results/6/item_solutions/pi-15-100-1000-001.kna_100_1_items.csv</t>
  </si>
  <si>
    <t>0.0019981861114501</t>
  </si>
  <si>
    <t>results/6/item_solutions/pi-15-100-1000-001.kna_100_10_items.csv</t>
  </si>
  <si>
    <t>0.0040004253387451</t>
  </si>
  <si>
    <t>results/6/item_solutions/pi-15-100-1000-001.kna_100_15_items.csv</t>
  </si>
  <si>
    <t>0.0010011196136474</t>
  </si>
  <si>
    <t>results/6/item_solutions/pi-15-100-1000-001.kna_100_20_items.csv</t>
  </si>
  <si>
    <t>0.0030016899108886</t>
  </si>
  <si>
    <t>results/6/item_solutions/pi-15-100-1000-001.kna_100_5_items.csv</t>
  </si>
  <si>
    <t>12.26422953605652</t>
  </si>
  <si>
    <t>results/6/item_solutions/pi-15-100-1000-001.kna_500000_1_items.csv</t>
  </si>
  <si>
    <t>12.32103395462036</t>
  </si>
  <si>
    <t>results/6/item_solutions/pi-15-100-1000-001.kna_500000_10_items.csv</t>
  </si>
  <si>
    <t>0.0009729862213134</t>
  </si>
  <si>
    <t>results/6/item_solutions/pi-15-100-1000-001.kna_500000_15_items.csv</t>
  </si>
  <si>
    <t>0.0020327568054199</t>
  </si>
  <si>
    <t>results/6/item_solutions/pi-15-100-1000-001.kna_500000_20_items.csv</t>
  </si>
  <si>
    <t>12.38166856765747</t>
  </si>
  <si>
    <t>results/6/item_solutions/pi-15-100-1000-001.kna_500000_5_items.csv</t>
  </si>
  <si>
    <t>0.9910316467285156</t>
  </si>
  <si>
    <t>results/6/item_solutions/pi-15-100-1000-001.kna_50000_1_items.csv</t>
  </si>
  <si>
    <t>1.3269388675689695</t>
  </si>
  <si>
    <t>results/6/item_solutions/pi-15-100-1000-001.kna_50000_10_items.csv</t>
  </si>
  <si>
    <t>results/6/item_solutions/pi-15-100-1000-001.kna_50000_15_items.csv</t>
  </si>
  <si>
    <t>0.0010085105895996</t>
  </si>
  <si>
    <t>results/6/item_solutions/pi-15-100-1000-001.kna_50000_20_items.csv</t>
  </si>
  <si>
    <t>1.4089365005493164</t>
  </si>
  <si>
    <t>results/6/item_solutions/pi-15-100-1000-001.kna_50000_5_items.csv</t>
  </si>
  <si>
    <t>0.1065914630889892</t>
  </si>
  <si>
    <t>results/6/item_solutions/pi-15-100-1000-001.kna_5000_1_items.csv</t>
  </si>
  <si>
    <t>0.0009591579437255</t>
  </si>
  <si>
    <t>results/6/item_solutions/pi-15-100-1000-001.kna_5000_10_items.csv</t>
  </si>
  <si>
    <t>0.0009996891021728</t>
  </si>
  <si>
    <t>results/6/item_solutions/pi-15-100-1000-001.kna_5000_15_items.csv</t>
  </si>
  <si>
    <t>0.0009646415710449</t>
  </si>
  <si>
    <t>results/6/item_solutions/pi-15-100-1000-001.kna_5000_20_items.csv</t>
  </si>
  <si>
    <t>0.1102602481842041</t>
  </si>
  <si>
    <t>results/6/item_solutions/pi-15-100-1000-001.kna_5000_5_items.csv</t>
  </si>
  <si>
    <t>0.0101048946380615</t>
  </si>
  <si>
    <t>results/6/item_solutions/pi-15-100-1000-001.kna_500_1_items.csv</t>
  </si>
  <si>
    <t>0.0121428966522216</t>
  </si>
  <si>
    <t>results/6/item_solutions/pi-15-100-1000-001.kna_500_10_items.csv</t>
  </si>
  <si>
    <t>results/6/item_solutions/pi-15-100-1000-001.kna_500_15_items.csv</t>
  </si>
  <si>
    <t>0.0010371208190917</t>
  </si>
  <si>
    <t>results/6/item_solutions/pi-15-100-1000-001.kna_500_20_items.csv</t>
  </si>
  <si>
    <t>0.0110344886779785</t>
  </si>
  <si>
    <t>results/6/item_solutions/pi-15-100-1000-001.kna_500_5_items.csv</t>
  </si>
  <si>
    <t>0.0020036697387695</t>
  </si>
  <si>
    <t>results/6/item_solutions/pi-15-100-1000-001.kna_50_1_items.csv</t>
  </si>
  <si>
    <t>results/6/item_solutions/pi-15-100-1000-001.kna_50_10_items.csv</t>
  </si>
  <si>
    <t>results/6/item_solutions/pi-15-100-1000-001.kna_50_15_items.csv</t>
  </si>
  <si>
    <t>0.0019998550415039</t>
  </si>
  <si>
    <t>results/6/item_solutions/pi-15-100-1000-001.kna_50_20_items.csv</t>
  </si>
  <si>
    <t>0.0009932518005371</t>
  </si>
  <si>
    <t>results/6/item_solutions/pi-15-100-1000-001.kna_50_5_items.csv</t>
  </si>
  <si>
    <t>pi-15-1000-1000-001.kna</t>
  </si>
  <si>
    <t>227.7282886505127</t>
  </si>
  <si>
    <t>results/7/item_solutions/pi-15-1000-1000-001.kna_1000000_1_items.csv</t>
  </si>
  <si>
    <t>341.4854979515076</t>
  </si>
  <si>
    <t>results/7/item_solutions/pi-15-1000-1000-001.kna_1000000_10_items.csv</t>
  </si>
  <si>
    <t>263.7018060684204</t>
  </si>
  <si>
    <t>results/7/item_solutions/pi-15-1000-1000-001.kna_1000000_15_items.csv</t>
  </si>
  <si>
    <t>294.6463952064514</t>
  </si>
  <si>
    <t>results/7/item_solutions/pi-15-1000-1000-001.kna_1000000_20_items.csv</t>
  </si>
  <si>
    <t>244.3339388370514</t>
  </si>
  <si>
    <t>results/7/item_solutions/pi-15-1000-1000-001.kna_1000000_5_items.csv</t>
  </si>
  <si>
    <t>20.38657593727112</t>
  </si>
  <si>
    <t>results/7/item_solutions/pi-15-1000-1000-001.kna_100000_1_items.csv</t>
  </si>
  <si>
    <t>25.40337872505188</t>
  </si>
  <si>
    <t>results/7/item_solutions/pi-15-1000-1000-001.kna_100000_10_items.csv</t>
  </si>
  <si>
    <t>25.668397426605225</t>
  </si>
  <si>
    <t>results/7/item_solutions/pi-15-1000-1000-001.kna_100000_15_items.csv</t>
  </si>
  <si>
    <t>27.80883264541626</t>
  </si>
  <si>
    <t>results/7/item_solutions/pi-15-1000-1000-001.kna_100000_20_items.csv</t>
  </si>
  <si>
    <t>24.41773009300232</t>
  </si>
  <si>
    <t>results/7/item_solutions/pi-15-1000-1000-001.kna_100000_5_items.csv</t>
  </si>
  <si>
    <t>2.6115612983703613</t>
  </si>
  <si>
    <t>results/7/item_solutions/pi-15-1000-1000-001.kna_10000_1_items.csv</t>
  </si>
  <si>
    <t>2.9723904132843018</t>
  </si>
  <si>
    <t>results/7/item_solutions/pi-15-1000-1000-001.kna_10000_10_items.csv</t>
  </si>
  <si>
    <t>2.526063919067383</t>
  </si>
  <si>
    <t>results/7/item_solutions/pi-15-1000-1000-001.kna_10000_15_items.csv</t>
  </si>
  <si>
    <t>2.4684243202209477</t>
  </si>
  <si>
    <t>results/7/item_solutions/pi-15-1000-1000-001.kna_10000_20_items.csv</t>
  </si>
  <si>
    <t>1.8215749263763428</t>
  </si>
  <si>
    <t>results/7/item_solutions/pi-15-1000-1000-001.kna_10000_5_items.csv</t>
  </si>
  <si>
    <t>0.1886141300201416</t>
  </si>
  <si>
    <t>results/7/item_solutions/pi-15-1000-1000-001.kna_1000_1_items.csv</t>
  </si>
  <si>
    <t>0.3489022254943847</t>
  </si>
  <si>
    <t>results/7/item_solutions/pi-15-1000-1000-001.kna_1000_10_items.csv</t>
  </si>
  <si>
    <t>0.2129874229431152</t>
  </si>
  <si>
    <t>results/7/item_solutions/pi-15-1000-1000-001.kna_1000_15_items.csv</t>
  </si>
  <si>
    <t>0.3501574993133545</t>
  </si>
  <si>
    <t>results/7/item_solutions/pi-15-1000-1000-001.kna_1000_20_items.csv</t>
  </si>
  <si>
    <t>0.2411801815032959</t>
  </si>
  <si>
    <t>results/7/item_solutions/pi-15-1000-1000-001.kna_1000_5_items.csv</t>
  </si>
  <si>
    <t>0.0170037746429443</t>
  </si>
  <si>
    <t>results/7/item_solutions/pi-15-1000-1000-001.kna_100_1_items.csv</t>
  </si>
  <si>
    <t>0.0200045108795166</t>
  </si>
  <si>
    <t>results/7/item_solutions/pi-15-1000-1000-001.kna_100_10_items.csv</t>
  </si>
  <si>
    <t>0.0230307579040527</t>
  </si>
  <si>
    <t>results/7/item_solutions/pi-15-1000-1000-001.kna_100_15_items.csv</t>
  </si>
  <si>
    <t>0.0281732082366943</t>
  </si>
  <si>
    <t>results/7/item_solutions/pi-15-1000-1000-001.kna_100_20_items.csv</t>
  </si>
  <si>
    <t>0.019033670425415</t>
  </si>
  <si>
    <t>results/7/item_solutions/pi-15-1000-1000-001.kna_100_5_items.csv</t>
  </si>
  <si>
    <t>101.434401512146</t>
  </si>
  <si>
    <t>results/7/item_solutions/pi-15-1000-1000-001.kna_500000_1_items.csv</t>
  </si>
  <si>
    <t>115.94899344444276</t>
  </si>
  <si>
    <t>results/7/item_solutions/pi-15-1000-1000-001.kna_500000_10_items.csv</t>
  </si>
  <si>
    <t>128.1132607460022</t>
  </si>
  <si>
    <t>results/7/item_solutions/pi-15-1000-1000-001.kna_500000_15_items.csv</t>
  </si>
  <si>
    <t>124.58623385429382</t>
  </si>
  <si>
    <t>results/7/item_solutions/pi-15-1000-1000-001.kna_500000_20_items.csv</t>
  </si>
  <si>
    <t>137.05603766441345</t>
  </si>
  <si>
    <t>results/7/item_solutions/pi-15-1000-1000-001.kna_500000_5_items.csv</t>
  </si>
  <si>
    <t>11.530519962310793</t>
  </si>
  <si>
    <t>results/7/item_solutions/pi-15-1000-1000-001.kna_50000_1_items.csv</t>
  </si>
  <si>
    <t>12.14569878578186</t>
  </si>
  <si>
    <t>results/7/item_solutions/pi-15-1000-1000-001.kna_50000_10_items.csv</t>
  </si>
  <si>
    <t>17.230950832366943</t>
  </si>
  <si>
    <t>results/7/item_solutions/pi-15-1000-1000-001.kna_50000_15_items.csv</t>
  </si>
  <si>
    <t>15.844626665115356</t>
  </si>
  <si>
    <t>results/7/item_solutions/pi-15-1000-1000-001.kna_50000_20_items.csv</t>
  </si>
  <si>
    <t>17.263623476028442</t>
  </si>
  <si>
    <t>results/7/item_solutions/pi-15-1000-1000-001.kna_50000_5_items.csv</t>
  </si>
  <si>
    <t>1.0108113288879397</t>
  </si>
  <si>
    <t>results/7/item_solutions/pi-15-1000-1000-001.kna_5000_1_items.csv</t>
  </si>
  <si>
    <t>0.988297700881958</t>
  </si>
  <si>
    <t>results/7/item_solutions/pi-15-1000-1000-001.kna_5000_10_items.csv</t>
  </si>
  <si>
    <t>1.2748703956604004</t>
  </si>
  <si>
    <t>results/7/item_solutions/pi-15-1000-1000-001.kna_5000_15_items.csv</t>
  </si>
  <si>
    <t>1.4366395473480225</t>
  </si>
  <si>
    <t>results/7/item_solutions/pi-15-1000-1000-001.kna_5000_20_items.csv</t>
  </si>
  <si>
    <t>1.150205135345459</t>
  </si>
  <si>
    <t>results/7/item_solutions/pi-15-1000-1000-001.kna_5000_5_items.csv</t>
  </si>
  <si>
    <t>0.1106271743774414</t>
  </si>
  <si>
    <t>results/7/item_solutions/pi-15-1000-1000-001.kna_500_1_items.csv</t>
  </si>
  <si>
    <t>0.2231812477111816</t>
  </si>
  <si>
    <t>results/7/item_solutions/pi-15-1000-1000-001.kna_500_10_items.csv</t>
  </si>
  <si>
    <t>0.1492323875427246</t>
  </si>
  <si>
    <t>results/7/item_solutions/pi-15-1000-1000-001.kna_500_15_items.csv</t>
  </si>
  <si>
    <t>0.119863748550415</t>
  </si>
  <si>
    <t>results/7/item_solutions/pi-15-1000-1000-001.kna_500_20_items.csv</t>
  </si>
  <si>
    <t>0.1017398834228515</t>
  </si>
  <si>
    <t>results/7/item_solutions/pi-15-1000-1000-001.kna_500_5_items.csv</t>
  </si>
  <si>
    <t>0.0110001564025878</t>
  </si>
  <si>
    <t>results/7/item_solutions/pi-15-1000-1000-001.kna_50_1_items.csv</t>
  </si>
  <si>
    <t>0.0169970989227294</t>
  </si>
  <si>
    <t>results/7/item_solutions/pi-15-1000-1000-001.kna_50_10_items.csv</t>
  </si>
  <si>
    <t>results/7/item_solutions/pi-15-1000-1000-001.kna_50_15_items.csv</t>
  </si>
  <si>
    <t>0.0100941658020019</t>
  </si>
  <si>
    <t>results/7/item_solutions/pi-15-1000-1000-001.kna_50_20_items.csv</t>
  </si>
  <si>
    <t>0.0091185569763183</t>
  </si>
  <si>
    <t>results/7/item_solutions/pi-15-1000-1000-001.kna_50_5_items.csv</t>
  </si>
  <si>
    <t>pi-12-10000-1000-001.kna</t>
  </si>
  <si>
    <t>5738.094025611877</t>
  </si>
  <si>
    <t>results/2/item_solutions/pi-12-10000-1000-001.kna_1000000_1_items.csv</t>
  </si>
  <si>
    <t>7653.211806535721</t>
  </si>
  <si>
    <t>results/2/item_solutions/pi-12-10000-1000-001.kna_1000000_10_items.csv</t>
  </si>
  <si>
    <t>6830.527006626129</t>
  </si>
  <si>
    <t>results/2/item_solutions/pi-12-10000-1000-001.kna_1000000_15_items.csv</t>
  </si>
  <si>
    <t>7537.880444049835</t>
  </si>
  <si>
    <t>results/2/item_solutions/pi-12-10000-1000-001.kna_1000000_20_items.csv</t>
  </si>
  <si>
    <t>7088.749817371368</t>
  </si>
  <si>
    <t>results/2/item_solutions/pi-12-10000-1000-001.kna_1000000_5_items.csv</t>
  </si>
  <si>
    <t>533.9750549793243</t>
  </si>
  <si>
    <t>results/2/item_solutions/pi-12-10000-1000-001.kna_100000_1_items.csv</t>
  </si>
  <si>
    <t>563.5456118583679</t>
  </si>
  <si>
    <t>results/2/item_solutions/pi-12-10000-1000-001.kna_100000_10_items.csv</t>
  </si>
  <si>
    <t>620.3323047161102</t>
  </si>
  <si>
    <t>results/2/item_solutions/pi-12-10000-1000-001.kna_100000_15_items.csv</t>
  </si>
  <si>
    <t>628.8284616470337</t>
  </si>
  <si>
    <t>results/2/item_solutions/pi-12-10000-1000-001.kna_100000_20_items.csv</t>
  </si>
  <si>
    <t>557.2385892868042</t>
  </si>
  <si>
    <t>results/2/item_solutions/pi-12-10000-1000-001.kna_100000_5_items.csv</t>
  </si>
  <si>
    <t>54.79172444343567</t>
  </si>
  <si>
    <t>results/2/item_solutions/pi-12-10000-1000-001.kna_10000_1_items.csv</t>
  </si>
  <si>
    <t>61.28079438209534</t>
  </si>
  <si>
    <t>results/2/item_solutions/pi-12-10000-1000-001.kna_10000_10_items.csv</t>
  </si>
  <si>
    <t>55.409912109375</t>
  </si>
  <si>
    <t>results/2/item_solutions/pi-12-10000-1000-001.kna_10000_15_items.csv</t>
  </si>
  <si>
    <t>59.22460675239563</t>
  </si>
  <si>
    <t>results/2/item_solutions/pi-12-10000-1000-001.kna_10000_20_items.csv</t>
  </si>
  <si>
    <t>58.187979221344</t>
  </si>
  <si>
    <t>results/2/item_solutions/pi-12-10000-1000-001.kna_10000_5_items.csv</t>
  </si>
  <si>
    <t>5.3021111488342285</t>
  </si>
  <si>
    <t>results/2/item_solutions/pi-12-10000-1000-001.kna_1000_1_items.csv</t>
  </si>
  <si>
    <t>5.992893695831299</t>
  </si>
  <si>
    <t>results/2/item_solutions/pi-12-10000-1000-001.kna_1000_10_items.csv</t>
  </si>
  <si>
    <t>6.048568487167358</t>
  </si>
  <si>
    <t>results/2/item_solutions/pi-12-10000-1000-001.kna_1000_15_items.csv</t>
  </si>
  <si>
    <t>5.862293243408203</t>
  </si>
  <si>
    <t>results/2/item_solutions/pi-12-10000-1000-001.kna_1000_20_items.csv</t>
  </si>
  <si>
    <t>5.147351264953613</t>
  </si>
  <si>
    <t>results/2/item_solutions/pi-12-10000-1000-001.kna_1000_5_items.csv</t>
  </si>
  <si>
    <t>0.5519740581512451</t>
  </si>
  <si>
    <t>results/2/item_solutions/pi-12-10000-1000-001.kna_100_1_items.csv</t>
  </si>
  <si>
    <t>0.4981842041015625</t>
  </si>
  <si>
    <t>results/2/item_solutions/pi-12-10000-1000-001.kna_100_10_items.csv</t>
  </si>
  <si>
    <t>0.590895414352417</t>
  </si>
  <si>
    <t>results/2/item_solutions/pi-12-10000-1000-001.kna_100_15_items.csv</t>
  </si>
  <si>
    <t>0.6637496948242188</t>
  </si>
  <si>
    <t>results/2/item_solutions/pi-12-10000-1000-001.kna_100_20_items.csv</t>
  </si>
  <si>
    <t>0.5609545707702637</t>
  </si>
  <si>
    <t>results/2/item_solutions/pi-12-10000-1000-001.kna_100_5_items.csv</t>
  </si>
  <si>
    <t>3163.23525929451</t>
  </si>
  <si>
    <t>results/2/item_solutions/pi-12-10000-1000-001.kna_500000_1_items.csv</t>
  </si>
  <si>
    <t>2884.574019908905</t>
  </si>
  <si>
    <t>results/2/item_solutions/pi-12-10000-1000-001.kna_500000_10_items.csv</t>
  </si>
  <si>
    <t>2891.4313554763794</t>
  </si>
  <si>
    <t>results/2/item_solutions/pi-12-10000-1000-001.kna_500000_15_items.csv</t>
  </si>
  <si>
    <t>3018.802525997162</t>
  </si>
  <si>
    <t>results/2/item_solutions/pi-12-10000-1000-001.kna_500000_20_items.csv</t>
  </si>
  <si>
    <t>2712.3925931453705</t>
  </si>
  <si>
    <t>results/2/item_solutions/pi-12-10000-1000-001.kna_500000_5_items.csv</t>
  </si>
  <si>
    <t>257.00438022613525</t>
  </si>
  <si>
    <t>results/2/item_solutions/pi-12-10000-1000-001.kna_50000_1_items.csv</t>
  </si>
  <si>
    <t>280.2061367034912</t>
  </si>
  <si>
    <t>results/2/item_solutions/pi-12-10000-1000-001.kna_50000_10_items.csv</t>
  </si>
  <si>
    <t>341.36445689201355</t>
  </si>
  <si>
    <t>results/2/item_solutions/pi-12-10000-1000-001.kna_50000_15_items.csv</t>
  </si>
  <si>
    <t>303.13228058815</t>
  </si>
  <si>
    <t>results/2/item_solutions/pi-12-10000-1000-001.kna_50000_20_items.csv</t>
  </si>
  <si>
    <t>277.54034185409546</t>
  </si>
  <si>
    <t>results/2/item_solutions/pi-12-10000-1000-001.kna_50000_5_items.csv</t>
  </si>
  <si>
    <t>25.89445281028748</t>
  </si>
  <si>
    <t>results/2/item_solutions/pi-12-10000-1000-001.kna_5000_1_items.csv</t>
  </si>
  <si>
    <t>29.249302864074707</t>
  </si>
  <si>
    <t>results/2/item_solutions/pi-12-10000-1000-001.kna_5000_10_items.csv</t>
  </si>
  <si>
    <t>28.646522521972656</t>
  </si>
  <si>
    <t>results/2/item_solutions/pi-12-10000-1000-001.kna_5000_15_items.csv</t>
  </si>
  <si>
    <t>27.12929654121399</t>
  </si>
  <si>
    <t>results/2/item_solutions/pi-12-10000-1000-001.kna_5000_20_items.csv</t>
  </si>
  <si>
    <t>29.749037742614743</t>
  </si>
  <si>
    <t>results/2/item_solutions/pi-12-10000-1000-001.kna_5000_5_items.csv</t>
  </si>
  <si>
    <t>2.634922504425049</t>
  </si>
  <si>
    <t>results/2/item_solutions/pi-12-10000-1000-001.kna_500_1_items.csv</t>
  </si>
  <si>
    <t>2.9378015995025635</t>
  </si>
  <si>
    <t>results/2/item_solutions/pi-12-10000-1000-001.kna_500_10_items.csv</t>
  </si>
  <si>
    <t>2.9676554203033447</t>
  </si>
  <si>
    <t>results/2/item_solutions/pi-12-10000-1000-001.kna_500_15_items.csv</t>
  </si>
  <si>
    <t>3.1270980834960938</t>
  </si>
  <si>
    <t>results/2/item_solutions/pi-12-10000-1000-001.kna_500_20_items.csv</t>
  </si>
  <si>
    <t>2.71567440032959</t>
  </si>
  <si>
    <t>results/2/item_solutions/pi-12-10000-1000-001.kna_500_5_items.csv</t>
  </si>
  <si>
    <t>0.298372745513916</t>
  </si>
  <si>
    <t>results/2/item_solutions/pi-12-10000-1000-001.kna_50_1_items.csv</t>
  </si>
  <si>
    <t>0.342052698135376</t>
  </si>
  <si>
    <t>results/2/item_solutions/pi-12-10000-1000-001.kna_50_10_items.csv</t>
  </si>
  <si>
    <t>0.2614855766296386</t>
  </si>
  <si>
    <t>results/2/item_solutions/pi-12-10000-1000-001.kna_50_15_items.csv</t>
  </si>
  <si>
    <t>0.325502872467041</t>
  </si>
  <si>
    <t>results/2/item_solutions/pi-12-10000-1000-001.kna_50_20_items.csv</t>
  </si>
  <si>
    <t>0.2799134254455566</t>
  </si>
  <si>
    <t>results/2/item_solutions/pi-12-10000-1000-001.kna_50_5_items.csv</t>
  </si>
  <si>
    <t>Max. de Total profit</t>
  </si>
  <si>
    <t>pi-13-10000-1000-001.kna</t>
  </si>
  <si>
    <t>7317.583475112915</t>
  </si>
  <si>
    <t>results/5/item_solutions/pi-13-10000-1000-001.kna_1000000_1_items.csv</t>
  </si>
  <si>
    <t>7089.716221094132</t>
  </si>
  <si>
    <t>results/5/item_solutions/pi-13-10000-1000-001.kna_1000000_10_items.csv</t>
  </si>
  <si>
    <t>6459.673049449921</t>
  </si>
  <si>
    <t>results/5/item_solutions/pi-13-10000-1000-001.kna_1000000_15_items.csv</t>
  </si>
  <si>
    <t>5772.634913444519</t>
  </si>
  <si>
    <t>results/5/item_solutions/pi-13-10000-1000-001.kna_1000000_20_items.csv</t>
  </si>
  <si>
    <t>6836.742493391037</t>
  </si>
  <si>
    <t>results/5/item_solutions/pi-13-10000-1000-001.kna_1000000_5_items.csv</t>
  </si>
  <si>
    <t>704.9747333526611</t>
  </si>
  <si>
    <t>results/5/item_solutions/pi-13-10000-1000-001.kna_100000_1_items.csv</t>
  </si>
  <si>
    <t>770.735677242279</t>
  </si>
  <si>
    <t>results/5/item_solutions/pi-13-10000-1000-001.kna_100000_10_items.csv</t>
  </si>
  <si>
    <t>777.5544002056122</t>
  </si>
  <si>
    <t>results/5/item_solutions/pi-13-10000-1000-001.kna_100000_15_items.csv</t>
  </si>
  <si>
    <t>790.6745600700378</t>
  </si>
  <si>
    <t>results/5/item_solutions/pi-13-10000-1000-001.kna_100000_20_items.csv</t>
  </si>
  <si>
    <t>756.2787163257599</t>
  </si>
  <si>
    <t>results/5/item_solutions/pi-13-10000-1000-001.kna_100000_5_items.csv</t>
  </si>
  <si>
    <t>74.28240203857422</t>
  </si>
  <si>
    <t>results/5/item_solutions/pi-13-10000-1000-001.kna_10000_1_items.csv</t>
  </si>
  <si>
    <t>74.06153678894043</t>
  </si>
  <si>
    <t>results/5/item_solutions/pi-13-10000-1000-001.kna_10000_10_items.csv</t>
  </si>
  <si>
    <t>84.32954454421997</t>
  </si>
  <si>
    <t>results/5/item_solutions/pi-13-10000-1000-001.kna_10000_15_items.csv</t>
  </si>
  <si>
    <t>88.49369502067566</t>
  </si>
  <si>
    <t>results/5/item_solutions/pi-13-10000-1000-001.kna_10000_20_items.csv</t>
  </si>
  <si>
    <t>77.48275971412659</t>
  </si>
  <si>
    <t>results/5/item_solutions/pi-13-10000-1000-001.kna_10000_5_items.csv</t>
  </si>
  <si>
    <t>9.344316244125366</t>
  </si>
  <si>
    <t>results/5/item_solutions/pi-13-10000-1000-001.kna_1000_1_items.csv</t>
  </si>
  <si>
    <t>8.810430765151978</t>
  </si>
  <si>
    <t>results/5/item_solutions/pi-13-10000-1000-001.kna_1000_10_items.csv</t>
  </si>
  <si>
    <t>8.557037353515625</t>
  </si>
  <si>
    <t>results/5/item_solutions/pi-13-10000-1000-001.kna_1000_15_items.csv</t>
  </si>
  <si>
    <t>8.35903525352478</t>
  </si>
  <si>
    <t>results/5/item_solutions/pi-13-10000-1000-001.kna_1000_20_items.csv</t>
  </si>
  <si>
    <t>8.51914095878601</t>
  </si>
  <si>
    <t>results/5/item_solutions/pi-13-10000-1000-001.kna_1000_5_items.csv</t>
  </si>
  <si>
    <t>0.6626560688018799</t>
  </si>
  <si>
    <t>results/5/item_solutions/pi-13-10000-1000-001.kna_100_1_items.csv</t>
  </si>
  <si>
    <t>1.188072681427002</t>
  </si>
  <si>
    <t>results/5/item_solutions/pi-13-10000-1000-001.kna_100_10_items.csv</t>
  </si>
  <si>
    <t>0.8627476692199707</t>
  </si>
  <si>
    <t>results/5/item_solutions/pi-13-10000-1000-001.kna_100_15_items.csv</t>
  </si>
  <si>
    <t>0.8871831893920898</t>
  </si>
  <si>
    <t>results/5/item_solutions/pi-13-10000-1000-001.kna_100_20_items.csv</t>
  </si>
  <si>
    <t>0.6553425788879395</t>
  </si>
  <si>
    <t>results/5/item_solutions/pi-13-10000-1000-001.kna_100_5_items.csv</t>
  </si>
  <si>
    <t>3686.092884778976</t>
  </si>
  <si>
    <t>results/5/item_solutions/pi-13-10000-1000-001.kna_500000_1_items.csv</t>
  </si>
  <si>
    <t>3696.281092405319</t>
  </si>
  <si>
    <t>results/5/item_solutions/pi-13-10000-1000-001.kna_500000_10_items.csv</t>
  </si>
  <si>
    <t>3537.8197259902954</t>
  </si>
  <si>
    <t>results/5/item_solutions/pi-13-10000-1000-001.kna_500000_15_items.csv</t>
  </si>
  <si>
    <t>3400.0369436740875</t>
  </si>
  <si>
    <t>results/5/item_solutions/pi-13-10000-1000-001.kna_500000_20_items.csv</t>
  </si>
  <si>
    <t>3410.465027809143</t>
  </si>
  <si>
    <t>results/5/item_solutions/pi-13-10000-1000-001.kna_500000_5_items.csv</t>
  </si>
  <si>
    <t>371.3028197288513</t>
  </si>
  <si>
    <t>results/5/item_solutions/pi-13-10000-1000-001.kna_50000_1_items.csv</t>
  </si>
  <si>
    <t>398.2855932712555</t>
  </si>
  <si>
    <t>results/5/item_solutions/pi-13-10000-1000-001.kna_50000_10_items.csv</t>
  </si>
  <si>
    <t>403.8746871948242</t>
  </si>
  <si>
    <t>results/5/item_solutions/pi-13-10000-1000-001.kna_50000_15_items.csv</t>
  </si>
  <si>
    <t>379.2585010528565</t>
  </si>
  <si>
    <t>results/5/item_solutions/pi-13-10000-1000-001.kna_50000_20_items.csv</t>
  </si>
  <si>
    <t>416.6414320468903</t>
  </si>
  <si>
    <t>results/5/item_solutions/pi-13-10000-1000-001.kna_50000_5_items.csv</t>
  </si>
  <si>
    <t>43.48854970932007</t>
  </si>
  <si>
    <t>results/5/item_solutions/pi-13-10000-1000-001.kna_5000_1_items.csv</t>
  </si>
  <si>
    <t>40.746193408966064</t>
  </si>
  <si>
    <t>results/5/item_solutions/pi-13-10000-1000-001.kna_5000_10_items.csv</t>
  </si>
  <si>
    <t>42.4983868598938</t>
  </si>
  <si>
    <t>results/5/item_solutions/pi-13-10000-1000-001.kna_5000_15_items.csv</t>
  </si>
  <si>
    <t>42.33315944671631</t>
  </si>
  <si>
    <t>results/5/item_solutions/pi-13-10000-1000-001.kna_5000_20_items.csv</t>
  </si>
  <si>
    <t>45.83684015274048</t>
  </si>
  <si>
    <t>results/5/item_solutions/pi-13-10000-1000-001.kna_5000_5_items.csv</t>
  </si>
  <si>
    <t>4.82347559928894</t>
  </si>
  <si>
    <t>results/5/item_solutions/pi-13-10000-1000-001.kna_500_1_items.csv</t>
  </si>
  <si>
    <t>4.351857423782349</t>
  </si>
  <si>
    <t>results/5/item_solutions/pi-13-10000-1000-001.kna_500_10_items.csv</t>
  </si>
  <si>
    <t>4.540261030197144</t>
  </si>
  <si>
    <t>results/5/item_solutions/pi-13-10000-1000-001.kna_500_15_items.csv</t>
  </si>
  <si>
    <t>4.543091535568237</t>
  </si>
  <si>
    <t>results/5/item_solutions/pi-13-10000-1000-001.kna_500_20_items.csv</t>
  </si>
  <si>
    <t>4.064315557479858</t>
  </si>
  <si>
    <t>results/5/item_solutions/pi-13-10000-1000-001.kna_500_5_items.csv</t>
  </si>
  <si>
    <t>0.3296523094177246</t>
  </si>
  <si>
    <t>results/5/item_solutions/pi-13-10000-1000-001.kna_50_1_items.csv</t>
  </si>
  <si>
    <t>0.3835234642028808</t>
  </si>
  <si>
    <t>results/5/item_solutions/pi-13-10000-1000-001.kna_50_10_items.csv</t>
  </si>
  <si>
    <t>0.3842794895172119</t>
  </si>
  <si>
    <t>results/5/item_solutions/pi-13-10000-1000-001.kna_50_15_items.csv</t>
  </si>
  <si>
    <t>0.3964076042175293</t>
  </si>
  <si>
    <t>results/5/item_solutions/pi-13-10000-1000-001.kna_50_20_items.csv</t>
  </si>
  <si>
    <t>0.3780031204223633</t>
  </si>
  <si>
    <t>results/5/item_solutions/pi-13-10000-1000-001.kna_50_5_items.csv</t>
  </si>
  <si>
    <t>pi-15-10000-1000-001.kna</t>
  </si>
  <si>
    <t>5689.2303965091705</t>
  </si>
  <si>
    <t>results/8/item_solutions/pi-15-10000-1000-001.kna_1000000_1_items.csv</t>
  </si>
  <si>
    <t>5666.787668466568</t>
  </si>
  <si>
    <t>results/8/item_solutions/pi-15-10000-1000-001.kna_1000000_10_items.csv</t>
  </si>
  <si>
    <t>5820.983638763428</t>
  </si>
  <si>
    <t>results/8/item_solutions/pi-15-10000-1000-001.kna_1000000_15_items.csv</t>
  </si>
  <si>
    <t>5248.391664028168</t>
  </si>
  <si>
    <t>results/8/item_solutions/pi-15-10000-1000-001.kna_1000000_20_items.csv</t>
  </si>
  <si>
    <t>5257.103888750076</t>
  </si>
  <si>
    <t>results/8/item_solutions/pi-15-10000-1000-001.kna_1000000_5_items.csv</t>
  </si>
  <si>
    <t>609.6400811672211</t>
  </si>
  <si>
    <t>results/8/item_solutions/pi-15-10000-1000-001.kna_100000_1_items.csv</t>
  </si>
  <si>
    <t>588.0355086326599</t>
  </si>
  <si>
    <t>results/8/item_solutions/pi-15-10000-1000-001.kna_100000_10_items.csv</t>
  </si>
  <si>
    <t>595.7485511302948</t>
  </si>
  <si>
    <t>results/8/item_solutions/pi-15-10000-1000-001.kna_100000_15_items.csv</t>
  </si>
  <si>
    <t>598.2618598937988</t>
  </si>
  <si>
    <t>results/8/item_solutions/pi-15-10000-1000-001.kna_100000_20_items.csv</t>
  </si>
  <si>
    <t>568.5284805297852</t>
  </si>
  <si>
    <t>results/8/item_solutions/pi-15-10000-1000-001.kna_100000_5_items.csv</t>
  </si>
  <si>
    <t>59.26984667778015</t>
  </si>
  <si>
    <t>results/8/item_solutions/pi-15-10000-1000-001.kna_10000_1_items.csv</t>
  </si>
  <si>
    <t>64.39496159553528</t>
  </si>
  <si>
    <t>results/8/item_solutions/pi-15-10000-1000-001.kna_10000_10_items.csv</t>
  </si>
  <si>
    <t>65.12932801246643</t>
  </si>
  <si>
    <t>results/8/item_solutions/pi-15-10000-1000-001.kna_10000_15_items.csv</t>
  </si>
  <si>
    <t>68.0477385520935</t>
  </si>
  <si>
    <t>results/8/item_solutions/pi-15-10000-1000-001.kna_10000_20_items.csv</t>
  </si>
  <si>
    <t>60.69066095352173</t>
  </si>
  <si>
    <t>results/8/item_solutions/pi-15-10000-1000-001.kna_10000_5_items.csv</t>
  </si>
  <si>
    <t>7.0197594165802</t>
  </si>
  <si>
    <t>results/8/item_solutions/pi-15-10000-1000-001.kna_1000_1_items.csv</t>
  </si>
  <si>
    <t>6.242172002792358</t>
  </si>
  <si>
    <t>results/8/item_solutions/pi-15-10000-1000-001.kna_1000_10_items.csv</t>
  </si>
  <si>
    <t>6.192702054977417</t>
  </si>
  <si>
    <t>results/8/item_solutions/pi-15-10000-1000-001.kna_1000_15_items.csv</t>
  </si>
  <si>
    <t>6.592607021331787</t>
  </si>
  <si>
    <t>results/8/item_solutions/pi-15-10000-1000-001.kna_1000_20_items.csv</t>
  </si>
  <si>
    <t>6.48587703704834</t>
  </si>
  <si>
    <t>results/8/item_solutions/pi-15-10000-1000-001.kna_1000_5_items.csv</t>
  </si>
  <si>
    <t>0.7182137966156006</t>
  </si>
  <si>
    <t>results/8/item_solutions/pi-15-10000-1000-001.kna_100_1_items.csv</t>
  </si>
  <si>
    <t>0.6342008113861084</t>
  </si>
  <si>
    <t>results/8/item_solutions/pi-15-10000-1000-001.kna_100_10_items.csv</t>
  </si>
  <si>
    <t>0.6330959796905518</t>
  </si>
  <si>
    <t>results/8/item_solutions/pi-15-10000-1000-001.kna_100_15_items.csv</t>
  </si>
  <si>
    <t>0.7108151912689209</t>
  </si>
  <si>
    <t>results/8/item_solutions/pi-15-10000-1000-001.kna_100_20_items.csv</t>
  </si>
  <si>
    <t>0.7027082443237305</t>
  </si>
  <si>
    <t>results/8/item_solutions/pi-15-10000-1000-001.kna_100_5_items.csv</t>
  </si>
  <si>
    <t>2900.20512008667</t>
  </si>
  <si>
    <t>results/8/item_solutions/pi-15-10000-1000-001.kna_500000_1_items.csv</t>
  </si>
  <si>
    <t>2761.197968006134</t>
  </si>
  <si>
    <t>results/8/item_solutions/pi-15-10000-1000-001.kna_500000_10_items.csv</t>
  </si>
  <si>
    <t>2766.798421382904</t>
  </si>
  <si>
    <t>results/8/item_solutions/pi-15-10000-1000-001.kna_500000_15_items.csv</t>
  </si>
  <si>
    <t>2761.420135498047</t>
  </si>
  <si>
    <t>results/8/item_solutions/pi-15-10000-1000-001.kna_500000_20_items.csv</t>
  </si>
  <si>
    <t>2775.7652156353</t>
  </si>
  <si>
    <t>results/8/item_solutions/pi-15-10000-1000-001.kna_500000_5_items.csv</t>
  </si>
  <si>
    <t>307.9681327342987</t>
  </si>
  <si>
    <t>results/8/item_solutions/pi-15-10000-1000-001.kna_50000_1_items.csv</t>
  </si>
  <si>
    <t>316.84601497650146</t>
  </si>
  <si>
    <t>results/8/item_solutions/pi-15-10000-1000-001.kna_50000_10_items.csv</t>
  </si>
  <si>
    <t>329.8851556777954</t>
  </si>
  <si>
    <t>results/8/item_solutions/pi-15-10000-1000-001.kna_50000_15_items.csv</t>
  </si>
  <si>
    <t>280.48802304267883</t>
  </si>
  <si>
    <t>results/8/item_solutions/pi-15-10000-1000-001.kna_50000_20_items.csv</t>
  </si>
  <si>
    <t>311.7370743751526</t>
  </si>
  <si>
    <t>results/8/item_solutions/pi-15-10000-1000-001.kna_50000_5_items.csv</t>
  </si>
  <si>
    <t>32.971747398376465</t>
  </si>
  <si>
    <t>results/8/item_solutions/pi-15-10000-1000-001.kna_5000_1_items.csv</t>
  </si>
  <si>
    <t>31.39285635948181</t>
  </si>
  <si>
    <t>results/8/item_solutions/pi-15-10000-1000-001.kna_5000_10_items.csv</t>
  </si>
  <si>
    <t>30.03437209129333</t>
  </si>
  <si>
    <t>results/8/item_solutions/pi-15-10000-1000-001.kna_5000_15_items.csv</t>
  </si>
  <si>
    <t>32.805424213409424</t>
  </si>
  <si>
    <t>results/8/item_solutions/pi-15-10000-1000-001.kna_5000_20_items.csv</t>
  </si>
  <si>
    <t>33.2140691280365</t>
  </si>
  <si>
    <t>results/8/item_solutions/pi-15-10000-1000-001.kna_5000_5_items.csv</t>
  </si>
  <si>
    <t>2.890088558197021</t>
  </si>
  <si>
    <t>results/8/item_solutions/pi-15-10000-1000-001.kna_500_1_items.csv</t>
  </si>
  <si>
    <t>4.307091236114502</t>
  </si>
  <si>
    <t>results/8/item_solutions/pi-15-10000-1000-001.kna_500_10_items.csv</t>
  </si>
  <si>
    <t>3.5035109519958496</t>
  </si>
  <si>
    <t>results/8/item_solutions/pi-15-10000-1000-001.kna_500_15_items.csv</t>
  </si>
  <si>
    <t>3.687923669815064</t>
  </si>
  <si>
    <t>results/8/item_solutions/pi-15-10000-1000-001.kna_500_20_items.csv</t>
  </si>
  <si>
    <t>4.436874866485596</t>
  </si>
  <si>
    <t>results/8/item_solutions/pi-15-10000-1000-001.kna_500_5_items.csv</t>
  </si>
  <si>
    <t>0.4447760581970215</t>
  </si>
  <si>
    <t>results/8/item_solutions/pi-15-10000-1000-001.kna_50_1_items.csv</t>
  </si>
  <si>
    <t>0.2796275615692138</t>
  </si>
  <si>
    <t>results/8/item_solutions/pi-15-10000-1000-001.kna_50_10_items.csv</t>
  </si>
  <si>
    <t>0.4231181144714355</t>
  </si>
  <si>
    <t>results/8/item_solutions/pi-15-10000-1000-001.kna_50_15_items.csv</t>
  </si>
  <si>
    <t>0.3623080253601074</t>
  </si>
  <si>
    <t>results/8/item_solutions/pi-15-10000-1000-001.kna_50_20_items.csv</t>
  </si>
  <si>
    <t>0.3362154960632324</t>
  </si>
  <si>
    <t>results/8/item_solutions/pi-15-10000-1000-001.kna_50_5_items.csv</t>
  </si>
  <si>
    <t>0.2939746379852295</t>
  </si>
  <si>
    <t>results2/item_solutions/pi-12-1000-1000-001.kna_1000_10_items.csv</t>
  </si>
  <si>
    <t>0.5407195091247559</t>
  </si>
  <si>
    <t>results2/item_solutions/pi-12-10000-1000-001.kna_100_5_items.csv</t>
  </si>
  <si>
    <t>2.745490074157715</t>
  </si>
  <si>
    <t>results2/item_solutions/pi-12-10000-1000-001.kna_500_5_items.csv</t>
  </si>
  <si>
    <t>0.2187891006469726</t>
  </si>
  <si>
    <t>results2/item_solutions/pi-13-1000-1000-001.kna_1000_1_items.csv</t>
  </si>
  <si>
    <t>0.0261626243591308</t>
  </si>
  <si>
    <t>results2/item_solutions/pi-13-1000-1000-001.kna_100_20_items.csv</t>
  </si>
  <si>
    <t>0.028580904006958</t>
  </si>
  <si>
    <t>results2/item_solutions/pi-13-1000-1000-001.kna_100_5_items.csv</t>
  </si>
  <si>
    <t>0.0200004577636718</t>
  </si>
  <si>
    <t>results2/item_solutions/pi-13-1000-1000-001.kna_50_15_items.csv</t>
  </si>
  <si>
    <t>3.4992876052856445</t>
  </si>
  <si>
    <t>results2/item_solutions/pi-13-10000-1000-001.kna_500_20_items.csv</t>
  </si>
  <si>
    <t>0.4487755298614502</t>
  </si>
  <si>
    <t>results2/item_solutions/pi-13-10000-1000-001.kna_50_10_items.csv</t>
  </si>
  <si>
    <t>0.3657960891723633</t>
  </si>
  <si>
    <t>results2/item_solutions/pi-13-10000-1000-001.kna_50_5_items.csv</t>
  </si>
  <si>
    <t>0.0216333866119384</t>
  </si>
  <si>
    <t>results2/item_solutions/pi-15-100-1000-001.kna_1000_1_items.csv</t>
  </si>
  <si>
    <t>0.0131890773773193</t>
  </si>
  <si>
    <t>results2/item_solutions/pi-15-100-1000-001.kna_500_10_items.csv</t>
  </si>
  <si>
    <t>0.0121381282806396</t>
  </si>
  <si>
    <t>results2/item_solutions/pi-15-100-1000-001.kna_500_20_items.csv</t>
  </si>
  <si>
    <t>0.2126204967498779</t>
  </si>
  <si>
    <t>results2/item_solutions/pi-15-1000-1000-001.kna_1000_5_items.csv</t>
  </si>
  <si>
    <t>0.0202200412750244</t>
  </si>
  <si>
    <t>results2/item_solutions/pi-15-1000-1000-001.kna_100_5_items.csv</t>
  </si>
  <si>
    <t>250.4491512775421</t>
  </si>
  <si>
    <t>results2/item_solutions/pi-15-10000-1000-001.kna_50000_15_items.csv</t>
  </si>
  <si>
    <t>29.18310308456421</t>
  </si>
  <si>
    <t>results2/item_solutions/pi-15-10000-1000-001.kna_5000_10_items.csv</t>
  </si>
  <si>
    <t>33.32377004623413</t>
  </si>
  <si>
    <t>results2/item_solutions/pi-15-10000-1000-001.kna_5000_15_items.csv</t>
  </si>
  <si>
    <t>old_max_profit</t>
  </si>
  <si>
    <t>Max. de old_max_profit</t>
  </si>
  <si>
    <t>Moyenne de tps_nb</t>
  </si>
  <si>
    <t>0.030320405960083</t>
  </si>
  <si>
    <t>resultsFinale/item_solutions/pi-13-1000-1000-001.kna_100_20_items.csv</t>
  </si>
  <si>
    <t>0.6477537155151367</t>
  </si>
  <si>
    <t>resultsFinale/item_solutions/pi-13-10000-1000-001.kna_50_10_items.csv</t>
  </si>
  <si>
    <t>45.31674456596375</t>
  </si>
  <si>
    <t>resultsFinale/item_solutions/pi-15-10000-1000-001.kna_5000_10_items.csv</t>
  </si>
  <si>
    <t>pred_profit</t>
  </si>
  <si>
    <t>Max. de pred_profit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</si>
</sst>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5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pivotCacheDefinition" Target="pivotCache/pivotCacheDefinition12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ivotCacheDefinition" Target="pivotCache/pivotCacheDefinition1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0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pivotCacheDefinition" Target="pivotCache/pivotCacheDefinition9.xml"/><Relationship Id="rId28" Type="http://schemas.openxmlformats.org/officeDocument/2006/relationships/pivotCacheDefinition" Target="pivotCache/pivotCacheDefinition14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pivotCacheDefinition" Target="pivotCache/pivotCacheDefinition13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938.2</c:v>
                </c:pt>
                <c:pt idx="1">
                  <c:v>970</c:v>
                </c:pt>
                <c:pt idx="2">
                  <c:v>930.6</c:v>
                </c:pt>
                <c:pt idx="3">
                  <c:v>929.2</c:v>
                </c:pt>
                <c:pt idx="4">
                  <c:v>930.6</c:v>
                </c:pt>
                <c:pt idx="5">
                  <c:v>938.2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5-4324-8DD9-F2229017D2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98082319"/>
        <c:axId val="1098081839"/>
      </c:barChart>
      <c:catAx>
        <c:axId val="109808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8081839"/>
        <c:crosses val="autoZero"/>
        <c:auto val="1"/>
        <c:lblAlgn val="ctr"/>
        <c:lblOffset val="100"/>
        <c:noMultiLvlLbl val="0"/>
      </c:catAx>
      <c:valAx>
        <c:axId val="10980818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80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886.7</c:v>
                </c:pt>
                <c:pt idx="1">
                  <c:v>970</c:v>
                </c:pt>
                <c:pt idx="2">
                  <c:v>970</c:v>
                </c:pt>
                <c:pt idx="3">
                  <c:v>970</c:v>
                </c:pt>
                <c:pt idx="4">
                  <c:v>961.7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12-40F6-AC48-01F4827DD6F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5569072"/>
        <c:axId val="265569552"/>
      </c:lineChart>
      <c:catAx>
        <c:axId val="265569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552"/>
        <c:crosses val="autoZero"/>
        <c:auto val="1"/>
        <c:lblAlgn val="ctr"/>
        <c:lblOffset val="100"/>
        <c:noMultiLvlLbl val="0"/>
      </c:catAx>
      <c:valAx>
        <c:axId val="2655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4498.8</c:v>
                </c:pt>
                <c:pt idx="1">
                  <c:v>4460.8</c:v>
                </c:pt>
                <c:pt idx="2">
                  <c:v>4468.3999999999996</c:v>
                </c:pt>
                <c:pt idx="3">
                  <c:v>4506.3999999999996</c:v>
                </c:pt>
                <c:pt idx="4">
                  <c:v>4482.2</c:v>
                </c:pt>
                <c:pt idx="5">
                  <c:v>4274.2</c:v>
                </c:pt>
                <c:pt idx="6">
                  <c:v>4274.2</c:v>
                </c:pt>
                <c:pt idx="7">
                  <c:v>4266.6000000000004</c:v>
                </c:pt>
                <c:pt idx="8">
                  <c:v>4265.2</c:v>
                </c:pt>
                <c:pt idx="9">
                  <c:v>4389.6000000000004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F9-46AC-B00C-62C448B800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450960"/>
        <c:axId val="13452880"/>
      </c:barChart>
      <c:catAx>
        <c:axId val="1345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452880"/>
        <c:crosses val="autoZero"/>
        <c:auto val="1"/>
        <c:lblAlgn val="ctr"/>
        <c:lblOffset val="100"/>
        <c:noMultiLvlLbl val="0"/>
      </c:catAx>
      <c:valAx>
        <c:axId val="1345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5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4374.3999999999996</c:v>
                </c:pt>
                <c:pt idx="1">
                  <c:v>4401.7</c:v>
                </c:pt>
                <c:pt idx="2">
                  <c:v>4417.6000000000004</c:v>
                </c:pt>
                <c:pt idx="3">
                  <c:v>4416.8999999999996</c:v>
                </c:pt>
                <c:pt idx="4">
                  <c:v>4332.6000000000004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B4-43F5-9493-9435FE72F43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2399936"/>
        <c:axId val="302400416"/>
      </c:lineChart>
      <c:catAx>
        <c:axId val="302399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400416"/>
        <c:crosses val="autoZero"/>
        <c:auto val="1"/>
        <c:lblAlgn val="ctr"/>
        <c:lblOffset val="100"/>
        <c:noMultiLvlLbl val="0"/>
      </c:catAx>
      <c:valAx>
        <c:axId val="3024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39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[résultat_Tabou_v2.xlsx]results_2_fusionné!Tableau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41918.400000000001</c:v>
                </c:pt>
                <c:pt idx="1">
                  <c:v>42152</c:v>
                </c:pt>
                <c:pt idx="2">
                  <c:v>42237</c:v>
                </c:pt>
                <c:pt idx="3">
                  <c:v>42026.2</c:v>
                </c:pt>
                <c:pt idx="4">
                  <c:v>42190</c:v>
                </c:pt>
                <c:pt idx="5">
                  <c:v>41701.4</c:v>
                </c:pt>
                <c:pt idx="6">
                  <c:v>41645.4</c:v>
                </c:pt>
                <c:pt idx="7">
                  <c:v>41560.400000000001</c:v>
                </c:pt>
                <c:pt idx="8">
                  <c:v>41173.4</c:v>
                </c:pt>
                <c:pt idx="9">
                  <c:v>41630.199999999997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23-4BB0-8FD9-CBC22C2B99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92841664"/>
        <c:axId val="992839744"/>
      </c:barChart>
      <c:catAx>
        <c:axId val="99284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9744"/>
        <c:crosses val="autoZero"/>
        <c:auto val="1"/>
        <c:lblAlgn val="ctr"/>
        <c:lblOffset val="100"/>
        <c:noMultiLvlLbl val="0"/>
      </c:catAx>
      <c:valAx>
        <c:axId val="992839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2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[résultat_Tabou_v2.xlsx]results_2_fusionné!Tableau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41898</c:v>
                </c:pt>
                <c:pt idx="1">
                  <c:v>41929.800000000003</c:v>
                </c:pt>
                <c:pt idx="2">
                  <c:v>41781.9</c:v>
                </c:pt>
                <c:pt idx="3">
                  <c:v>41731.800000000003</c:v>
                </c:pt>
                <c:pt idx="4">
                  <c:v>41775.699999999997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4-46BD-866C-C4463A4AE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2834464"/>
        <c:axId val="992848864"/>
      </c:lineChart>
      <c:catAx>
        <c:axId val="992834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48864"/>
        <c:crosses val="autoZero"/>
        <c:auto val="1"/>
        <c:lblAlgn val="ctr"/>
        <c:lblOffset val="100"/>
        <c:noMultiLvlLbl val="0"/>
      </c:catAx>
      <c:valAx>
        <c:axId val="9928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1762.8</c:v>
                </c:pt>
                <c:pt idx="1">
                  <c:v>1989</c:v>
                </c:pt>
                <c:pt idx="2">
                  <c:v>1794</c:v>
                </c:pt>
                <c:pt idx="3">
                  <c:v>1989</c:v>
                </c:pt>
                <c:pt idx="4">
                  <c:v>1825.2</c:v>
                </c:pt>
                <c:pt idx="5">
                  <c:v>1809.6</c:v>
                </c:pt>
                <c:pt idx="6">
                  <c:v>1879.8</c:v>
                </c:pt>
                <c:pt idx="7">
                  <c:v>1911</c:v>
                </c:pt>
                <c:pt idx="8">
                  <c:v>1903.2</c:v>
                </c:pt>
                <c:pt idx="9">
                  <c:v>1848.6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9-440A-9845-DB1B0EF50E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6304976"/>
        <c:axId val="16305456"/>
      </c:barChart>
      <c:catAx>
        <c:axId val="1630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305456"/>
        <c:crosses val="autoZero"/>
        <c:auto val="1"/>
        <c:lblAlgn val="ctr"/>
        <c:lblOffset val="100"/>
        <c:noMultiLvlLbl val="0"/>
      </c:catAx>
      <c:valAx>
        <c:axId val="1630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1817.4</c:v>
                </c:pt>
                <c:pt idx="1">
                  <c:v>1875.9</c:v>
                </c:pt>
                <c:pt idx="2">
                  <c:v>1887.6</c:v>
                </c:pt>
                <c:pt idx="3">
                  <c:v>1848.6</c:v>
                </c:pt>
                <c:pt idx="4">
                  <c:v>1926.6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37-4E1B-A451-8D73F9014BB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725248"/>
        <c:axId val="104724288"/>
      </c:lineChart>
      <c:catAx>
        <c:axId val="1047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4288"/>
        <c:crosses val="autoZero"/>
        <c:auto val="1"/>
        <c:lblAlgn val="ctr"/>
        <c:lblOffset val="100"/>
        <c:noMultiLvlLbl val="0"/>
      </c:catAx>
      <c:valAx>
        <c:axId val="10472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4921.8</c:v>
                </c:pt>
                <c:pt idx="1">
                  <c:v>4929.6000000000004</c:v>
                </c:pt>
                <c:pt idx="2">
                  <c:v>4914</c:v>
                </c:pt>
                <c:pt idx="3">
                  <c:v>4859.3999999999996</c:v>
                </c:pt>
                <c:pt idx="4">
                  <c:v>4804.8</c:v>
                </c:pt>
                <c:pt idx="5">
                  <c:v>4524</c:v>
                </c:pt>
                <c:pt idx="6">
                  <c:v>4547.3999999999996</c:v>
                </c:pt>
                <c:pt idx="7">
                  <c:v>4578.6000000000004</c:v>
                </c:pt>
                <c:pt idx="8">
                  <c:v>4547.3999999999996</c:v>
                </c:pt>
                <c:pt idx="9">
                  <c:v>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2-4105-9CD2-D2825F804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5017328"/>
        <c:axId val="265015888"/>
      </c:barChart>
      <c:catAx>
        <c:axId val="26501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015888"/>
        <c:crosses val="autoZero"/>
        <c:auto val="1"/>
        <c:lblAlgn val="ctr"/>
        <c:lblOffset val="100"/>
        <c:noMultiLvlLbl val="0"/>
      </c:catAx>
      <c:valAx>
        <c:axId val="265015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501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46605</c:v>
                </c:pt>
                <c:pt idx="1">
                  <c:v>46956</c:v>
                </c:pt>
                <c:pt idx="2">
                  <c:v>47229</c:v>
                </c:pt>
                <c:pt idx="3">
                  <c:v>46800</c:v>
                </c:pt>
                <c:pt idx="4">
                  <c:v>47775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C-468E-8748-6E0A4287A0B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0566320"/>
        <c:axId val="260562960"/>
      </c:lineChart>
      <c:catAx>
        <c:axId val="260566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2960"/>
        <c:crosses val="autoZero"/>
        <c:auto val="1"/>
        <c:lblAlgn val="ctr"/>
        <c:lblOffset val="100"/>
        <c:noMultiLvlLbl val="0"/>
      </c:catAx>
      <c:valAx>
        <c:axId val="2605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[résultat_Tabou_v2.xlsx]results_5_fusionné!Tableau croisé dynamique9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'results_5_fusionné'!$B$60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'results_5_fusionné'!$B$61:$B$71</c:f>
              <c:numCache>
                <c:formatCode>General</c:formatCode>
                <c:ptCount val="10"/>
                <c:pt idx="0">
                  <c:v>43695.6</c:v>
                </c:pt>
                <c:pt idx="1">
                  <c:v>43095</c:v>
                </c:pt>
                <c:pt idx="2">
                  <c:v>43321.2</c:v>
                </c:pt>
                <c:pt idx="3">
                  <c:v>43555.199999999997</c:v>
                </c:pt>
                <c:pt idx="4">
                  <c:v>43305.599999999999</c:v>
                </c:pt>
                <c:pt idx="5">
                  <c:v>42315</c:v>
                </c:pt>
                <c:pt idx="6">
                  <c:v>41870.400000000001</c:v>
                </c:pt>
                <c:pt idx="7">
                  <c:v>42057.599999999999</c:v>
                </c:pt>
                <c:pt idx="8">
                  <c:v>41730</c:v>
                </c:pt>
                <c:pt idx="9">
                  <c:v>42533.4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F-47DF-B355-2DC4C257EB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6561919"/>
        <c:axId val="106570559"/>
      </c:barChart>
      <c:catAx>
        <c:axId val="106561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70559"/>
        <c:crosses val="autoZero"/>
        <c:auto val="1"/>
        <c:lblAlgn val="ctr"/>
        <c:lblOffset val="100"/>
        <c:noMultiLvlLbl val="0"/>
      </c:catAx>
      <c:valAx>
        <c:axId val="1065705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561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[résultat_Tabou_v2.xlsx]results_5_fusionné!Tableau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'results_5_fusionné'!$B$77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'results_5_fusionné'!$B$78:$B$83</c:f>
              <c:numCache>
                <c:formatCode>General</c:formatCode>
                <c:ptCount val="5"/>
                <c:pt idx="0">
                  <c:v>42568.5</c:v>
                </c:pt>
                <c:pt idx="1">
                  <c:v>42646.5</c:v>
                </c:pt>
                <c:pt idx="2">
                  <c:v>42845.4</c:v>
                </c:pt>
                <c:pt idx="3">
                  <c:v>42837.599999999999</c:v>
                </c:pt>
                <c:pt idx="4">
                  <c:v>42841.5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7B-4206-837D-1A9F3F2F957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6568639"/>
        <c:axId val="106574879"/>
      </c:lineChart>
      <c:catAx>
        <c:axId val="1065686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74879"/>
        <c:crosses val="autoZero"/>
        <c:auto val="1"/>
        <c:lblAlgn val="ctr"/>
        <c:lblOffset val="100"/>
        <c:noMultiLvlLbl val="0"/>
      </c:catAx>
      <c:valAx>
        <c:axId val="1065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6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'results_6_fusionné'!$B$60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'results_6_fusionné'!$B$61:$B$71</c:f>
              <c:numCache>
                <c:formatCode>General</c:formatCode>
                <c:ptCount val="10"/>
                <c:pt idx="0">
                  <c:v>1002</c:v>
                </c:pt>
                <c:pt idx="1">
                  <c:v>1002.6</c:v>
                </c:pt>
                <c:pt idx="2">
                  <c:v>1003.8</c:v>
                </c:pt>
                <c:pt idx="3">
                  <c:v>1003.2</c:v>
                </c:pt>
                <c:pt idx="4">
                  <c:v>1002</c:v>
                </c:pt>
                <c:pt idx="5">
                  <c:v>1001.4</c:v>
                </c:pt>
                <c:pt idx="6">
                  <c:v>1001.4</c:v>
                </c:pt>
                <c:pt idx="7">
                  <c:v>1002</c:v>
                </c:pt>
                <c:pt idx="8">
                  <c:v>1002</c:v>
                </c:pt>
                <c:pt idx="9">
                  <c:v>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3-4A4F-BB08-ABB3740499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1310272"/>
        <c:axId val="131311712"/>
      </c:barChart>
      <c:catAx>
        <c:axId val="13131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311712"/>
        <c:crosses val="autoZero"/>
        <c:auto val="1"/>
        <c:lblAlgn val="ctr"/>
        <c:lblOffset val="100"/>
        <c:noMultiLvlLbl val="0"/>
      </c:catAx>
      <c:valAx>
        <c:axId val="13131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31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'results_6_fusionné'!$B$77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'results_6_fusionné'!$B$78:$B$83</c:f>
              <c:numCache>
                <c:formatCode>General</c:formatCode>
                <c:ptCount val="5"/>
                <c:pt idx="0">
                  <c:v>1002</c:v>
                </c:pt>
                <c:pt idx="1">
                  <c:v>1002.3</c:v>
                </c:pt>
                <c:pt idx="2">
                  <c:v>1002.6</c:v>
                </c:pt>
                <c:pt idx="3">
                  <c:v>1001.7</c:v>
                </c:pt>
                <c:pt idx="4">
                  <c:v>1002.6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8-4A61-8C23-830043F3241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331376"/>
        <c:axId val="151329936"/>
      </c:lineChart>
      <c:catAx>
        <c:axId val="15133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29936"/>
        <c:crosses val="autoZero"/>
        <c:auto val="1"/>
        <c:lblAlgn val="ctr"/>
        <c:lblOffset val="100"/>
        <c:noMultiLvlLbl val="0"/>
      </c:catAx>
      <c:valAx>
        <c:axId val="15132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3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[résultat_Tabou_v2.xlsx]results_7_fusionné!Tableau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'results_7_fusionné'!$B$60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'results_7_fusionné'!$B$61:$B$71</c:f>
              <c:numCache>
                <c:formatCode>General</c:formatCode>
                <c:ptCount val="10"/>
                <c:pt idx="0">
                  <c:v>4833</c:v>
                </c:pt>
                <c:pt idx="1">
                  <c:v>4835.3999999999996</c:v>
                </c:pt>
                <c:pt idx="2">
                  <c:v>4834.2</c:v>
                </c:pt>
                <c:pt idx="3">
                  <c:v>4834.8</c:v>
                </c:pt>
                <c:pt idx="4">
                  <c:v>4834.8</c:v>
                </c:pt>
                <c:pt idx="5">
                  <c:v>4830</c:v>
                </c:pt>
                <c:pt idx="6">
                  <c:v>4828.2</c:v>
                </c:pt>
                <c:pt idx="7">
                  <c:v>4831.2</c:v>
                </c:pt>
                <c:pt idx="8">
                  <c:v>4830.6000000000004</c:v>
                </c:pt>
                <c:pt idx="9">
                  <c:v>4829.3999999999996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2-4262-A815-2AF591F382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92865664"/>
        <c:axId val="992864224"/>
      </c:barChart>
      <c:catAx>
        <c:axId val="99286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64224"/>
        <c:crosses val="autoZero"/>
        <c:auto val="1"/>
        <c:lblAlgn val="ctr"/>
        <c:lblOffset val="100"/>
        <c:noMultiLvlLbl val="0"/>
      </c:catAx>
      <c:valAx>
        <c:axId val="99286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28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[résultat_Tabou_v2.xlsx]results_7_fusionné!Tableau croisé dynamique2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'results_7_fusionné'!$B$77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'results_7_fusionné'!$B$78:$B$83</c:f>
              <c:numCache>
                <c:formatCode>General</c:formatCode>
                <c:ptCount val="5"/>
                <c:pt idx="0">
                  <c:v>4832.1000000000004</c:v>
                </c:pt>
                <c:pt idx="1">
                  <c:v>4833</c:v>
                </c:pt>
                <c:pt idx="2">
                  <c:v>4831.8</c:v>
                </c:pt>
                <c:pt idx="3">
                  <c:v>4831.8</c:v>
                </c:pt>
                <c:pt idx="4">
                  <c:v>4832.1000000000004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5-4AE5-B025-9F1C7819ED7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92880064"/>
        <c:axId val="992871904"/>
      </c:lineChart>
      <c:catAx>
        <c:axId val="992880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71904"/>
        <c:crosses val="autoZero"/>
        <c:auto val="1"/>
        <c:lblAlgn val="ctr"/>
        <c:lblOffset val="100"/>
        <c:noMultiLvlLbl val="0"/>
      </c:catAx>
      <c:valAx>
        <c:axId val="99287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8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[résultat_Tabou_v2.xlsx]results_8_fusionné!Tableau croisé dynamique15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'results_8_fusionné'!$B$60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'results_8_fusionné'!$B$61:$B$71</c:f>
              <c:numCache>
                <c:formatCode>General</c:formatCode>
                <c:ptCount val="10"/>
                <c:pt idx="0">
                  <c:v>247110</c:v>
                </c:pt>
                <c:pt idx="1">
                  <c:v>247101</c:v>
                </c:pt>
                <c:pt idx="2">
                  <c:v>247101</c:v>
                </c:pt>
                <c:pt idx="3">
                  <c:v>247098</c:v>
                </c:pt>
                <c:pt idx="4">
                  <c:v>247122</c:v>
                </c:pt>
                <c:pt idx="5">
                  <c:v>247038</c:v>
                </c:pt>
                <c:pt idx="6">
                  <c:v>247059</c:v>
                </c:pt>
                <c:pt idx="7">
                  <c:v>247020</c:v>
                </c:pt>
                <c:pt idx="8">
                  <c:v>247008</c:v>
                </c:pt>
                <c:pt idx="9">
                  <c:v>247017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2-4602-BDB2-53AC8CEFBF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6534559"/>
        <c:axId val="106541759"/>
      </c:barChart>
      <c:catAx>
        <c:axId val="10653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41759"/>
        <c:crosses val="autoZero"/>
        <c:auto val="1"/>
        <c:lblAlgn val="ctr"/>
        <c:lblOffset val="100"/>
        <c:noMultiLvlLbl val="0"/>
      </c:catAx>
      <c:valAx>
        <c:axId val="106541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53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[résultat_Tabou_v2.xlsx]results_8_fusionné!Tableau croisé dynamique16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E2841"/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'results_8_fusionné'!$B$77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'results_8_fusionné'!$B$78:$B$83</c:f>
              <c:numCache>
                <c:formatCode>General</c:formatCode>
                <c:ptCount val="5"/>
                <c:pt idx="0">
                  <c:v>49410.9</c:v>
                </c:pt>
                <c:pt idx="1">
                  <c:v>49410.3</c:v>
                </c:pt>
                <c:pt idx="2">
                  <c:v>49416.6</c:v>
                </c:pt>
                <c:pt idx="3">
                  <c:v>49417.2</c:v>
                </c:pt>
                <c:pt idx="4">
                  <c:v>49412.4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ED-4770-94E3-16ABB649CAF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6544639"/>
        <c:axId val="106548959"/>
      </c:lineChart>
      <c:catAx>
        <c:axId val="1065446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48959"/>
        <c:crosses val="autoZero"/>
        <c:auto val="1"/>
        <c:lblAlgn val="ctr"/>
        <c:lblOffset val="100"/>
        <c:noMultiLvlLbl val="0"/>
      </c:catAx>
      <c:valAx>
        <c:axId val="10654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4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[résultat_Tabou_v2.xlsx]results2_fusionné!Tableau croisé dynamique20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'results2_fusionné'!$B$25</c:f>
              <c:strCache>
                <c:ptCount val="1"/>
                <c:pt idx="0">
                  <c:v>Max. de Total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'results2_fusionné'!$A$26:$A$27</c:f>
              <c:strCache>
                <c:ptCount val="1"/>
                <c:pt idx="0">
                  <c:v>pi-15-10000-1000-001.kna</c:v>
                </c:pt>
              </c:strCache>
            </c:strRef>
          </c:cat>
          <c:val>
            <c:numRef>
              <c:f>'results2_fusionné'!$B$26:$B$27</c:f>
              <c:numCache>
                <c:formatCode>General</c:formatCode>
                <c:ptCount val="1"/>
                <c:pt idx="0">
                  <c:v>49437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C0-46B1-90F7-5301FF1A3306}"/>
            </c:ext>
          </c:extLst>
        </c:ser>
        <c:ser>
          <c:idx val="1"/>
          <c:order val="1"/>
          <c:tx>
            <c:strRef>
              <c:f>'results2_fusionné'!$C$25</c:f>
              <c:strCache>
                <c:ptCount val="1"/>
                <c:pt idx="0">
                  <c:v>Max. de old_max_profit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'results2_fusionné'!$A$26:$A$27</c:f>
              <c:strCache>
                <c:ptCount val="1"/>
                <c:pt idx="0">
                  <c:v>pi-15-10000-1000-001.kna</c:v>
                </c:pt>
              </c:strCache>
            </c:strRef>
          </c:cat>
          <c:val>
            <c:numRef>
              <c:f>'results2_fusionné'!$C$26:$C$27</c:f>
              <c:numCache>
                <c:formatCode>General</c:formatCode>
                <c:ptCount val="1"/>
                <c:pt idx="0">
                  <c:v>49434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C0-46B1-90F7-5301FF1A33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6607039"/>
        <c:axId val="106607519"/>
      </c:barChart>
      <c:catAx>
        <c:axId val="10660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607519"/>
        <c:crosses val="autoZero"/>
        <c:auto val="1"/>
        <c:lblAlgn val="ctr"/>
        <c:lblOffset val="100"/>
        <c:noMultiLvlLbl val="0"/>
      </c:catAx>
      <c:valAx>
        <c:axId val="10660751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60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[résultat_Tabou_v2.xlsx]resultsFinale_fusionné!Tableau croisé dynamique28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'resultsFinale_fusionné'!$B$8</c:f>
              <c:strCache>
                <c:ptCount val="1"/>
                <c:pt idx="0">
                  <c:v>Max. de Total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'resultsFinale_fusionné'!$A$9:$A$12</c:f>
              <c:strCache>
                <c:ptCount val="3"/>
                <c:pt idx="0">
                  <c:v>pi-13-10000-1000-001.kna</c:v>
                </c:pt>
                <c:pt idx="1">
                  <c:v>pi-13-1000-1000-001.kna</c:v>
                </c:pt>
                <c:pt idx="2">
                  <c:v>pi-15-10000-1000-001.kna</c:v>
                </c:pt>
              </c:strCache>
            </c:strRef>
          </c:cat>
          <c:val>
            <c:numRef>
              <c:f>'resultsFinale_fusionné'!$B$9:$B$12</c:f>
              <c:numCache>
                <c:formatCode>General</c:formatCode>
                <c:ptCount val="3"/>
                <c:pt idx="0">
                  <c:v>46605</c:v>
                </c:pt>
                <c:pt idx="1">
                  <c:v>5772</c:v>
                </c:pt>
                <c:pt idx="2">
                  <c:v>49449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3-43D8-9AF8-4C2ADE58F4C7}"/>
            </c:ext>
          </c:extLst>
        </c:ser>
        <c:ser>
          <c:idx val="1"/>
          <c:order val="1"/>
          <c:tx>
            <c:strRef>
              <c:f>'resultsFinale_fusionné'!$C$8</c:f>
              <c:strCache>
                <c:ptCount val="1"/>
                <c:pt idx="0">
                  <c:v>Max. de pred_profit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'resultsFinale_fusionné'!$A$9:$A$12</c:f>
              <c:strCache>
                <c:ptCount val="3"/>
                <c:pt idx="0">
                  <c:v>pi-13-10000-1000-001.kna</c:v>
                </c:pt>
                <c:pt idx="1">
                  <c:v>pi-13-1000-1000-001.kna</c:v>
                </c:pt>
                <c:pt idx="2">
                  <c:v>pi-15-10000-1000-001.kna</c:v>
                </c:pt>
              </c:strCache>
            </c:strRef>
          </c:cat>
          <c:val>
            <c:numRef>
              <c:f>'resultsFinale_fusionné'!$C$9:$C$12</c:f>
              <c:numCache>
                <c:formatCode>General</c:formatCode>
                <c:ptCount val="3"/>
                <c:pt idx="0">
                  <c:v>44733</c:v>
                </c:pt>
                <c:pt idx="1">
                  <c:v>5421</c:v>
                </c:pt>
                <c:pt idx="2">
                  <c:v>49437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E3-43D8-9AF8-4C2ADE58F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103190608"/>
        <c:axId val="2103197808"/>
      </c:barChart>
      <c:catAx>
        <c:axId val="2103190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3197808"/>
        <c:crosses val="autoZero"/>
        <c:auto val="1"/>
        <c:lblAlgn val="ctr"/>
        <c:lblOffset val="100"/>
        <c:noMultiLvlLbl val="0"/>
      </c:catAx>
      <c:valAx>
        <c:axId val="2103197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0319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[résultat_Tabou_v2.xlsx]tps_time_100!Tableau croisé dynamique23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Moyenne tps d'exécution/nb itérations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tps_time_100!$K$4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tps_time_100!$J$5:$J$15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tps_time_100!$K$5:$K$15</c:f>
              <c:numCache>
                <c:formatCode>General</c:formatCode>
                <c:ptCount val="10"/>
                <c:pt idx="0">
                  <c:v>2.8775374094644935E-3</c:v>
                </c:pt>
                <c:pt idx="1">
                  <c:v>2.9527823130289124E-3</c:v>
                </c:pt>
                <c:pt idx="2">
                  <c:v>1.2292448679606074E-2</c:v>
                </c:pt>
                <c:pt idx="3">
                  <c:v>3.1108077367146769E-2</c:v>
                </c:pt>
                <c:pt idx="4">
                  <c:v>8.882640202840146E-2</c:v>
                </c:pt>
                <c:pt idx="5">
                  <c:v>0.24218711853027311</c:v>
                </c:pt>
                <c:pt idx="6">
                  <c:v>1.2087772051493297</c:v>
                </c:pt>
                <c:pt idx="7">
                  <c:v>2.5809940497080461</c:v>
                </c:pt>
                <c:pt idx="8">
                  <c:v>10.625747966766331</c:v>
                </c:pt>
                <c:pt idx="9">
                  <c:v>16.833135716120385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3A-4AEF-8A70-DD5A531EA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497119"/>
        <c:axId val="106513919"/>
      </c:lineChart>
      <c:catAx>
        <c:axId val="1064971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13919"/>
        <c:crosses val="autoZero"/>
        <c:auto val="1"/>
        <c:lblAlgn val="ctr"/>
        <c:lblOffset val="100"/>
        <c:noMultiLvlLbl val="0"/>
      </c:catAx>
      <c:valAx>
        <c:axId val="1065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49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[résultat_Tabou_v2.xlsx]tps_time_100!Tableau croisé dynamique26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tps_time_100!$B$160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tps_time_100!$A$161:$A$221</c:f>
              <c:multiLvlStrCache>
                <c:ptCount val="50"/>
                <c:lvl>
                  <c:pt idx="0">
                    <c:v>1</c:v>
                  </c:pt>
                  <c:pt idx="1">
                    <c:v>5</c:v>
                  </c:pt>
                  <c:pt idx="2">
                    <c:v>10</c:v>
                  </c:pt>
                  <c:pt idx="3">
                    <c:v>15</c:v>
                  </c:pt>
                  <c:pt idx="4">
                    <c:v>20</c:v>
                  </c:pt>
                  <c:pt idx="5">
                    <c:v>1</c:v>
                  </c:pt>
                  <c:pt idx="6">
                    <c:v>5</c:v>
                  </c:pt>
                  <c:pt idx="7">
                    <c:v>10</c:v>
                  </c:pt>
                  <c:pt idx="8">
                    <c:v>15</c:v>
                  </c:pt>
                  <c:pt idx="9">
                    <c:v>20</c:v>
                  </c:pt>
                  <c:pt idx="10">
                    <c:v>1</c:v>
                  </c:pt>
                  <c:pt idx="11">
                    <c:v>5</c:v>
                  </c:pt>
                  <c:pt idx="12">
                    <c:v>10</c:v>
                  </c:pt>
                  <c:pt idx="13">
                    <c:v>15</c:v>
                  </c:pt>
                  <c:pt idx="14">
                    <c:v>20</c:v>
                  </c:pt>
                  <c:pt idx="15">
                    <c:v>1</c:v>
                  </c:pt>
                  <c:pt idx="16">
                    <c:v>5</c:v>
                  </c:pt>
                  <c:pt idx="17">
                    <c:v>10</c:v>
                  </c:pt>
                  <c:pt idx="18">
                    <c:v>15</c:v>
                  </c:pt>
                  <c:pt idx="19">
                    <c:v>20</c:v>
                  </c:pt>
                  <c:pt idx="20">
                    <c:v>1</c:v>
                  </c:pt>
                  <c:pt idx="21">
                    <c:v>5</c:v>
                  </c:pt>
                  <c:pt idx="22">
                    <c:v>10</c:v>
                  </c:pt>
                  <c:pt idx="23">
                    <c:v>15</c:v>
                  </c:pt>
                  <c:pt idx="24">
                    <c:v>20</c:v>
                  </c:pt>
                  <c:pt idx="25">
                    <c:v>1</c:v>
                  </c:pt>
                  <c:pt idx="26">
                    <c:v>5</c:v>
                  </c:pt>
                  <c:pt idx="27">
                    <c:v>10</c:v>
                  </c:pt>
                  <c:pt idx="28">
                    <c:v>15</c:v>
                  </c:pt>
                  <c:pt idx="29">
                    <c:v>20</c:v>
                  </c:pt>
                  <c:pt idx="30">
                    <c:v>1</c:v>
                  </c:pt>
                  <c:pt idx="31">
                    <c:v>5</c:v>
                  </c:pt>
                  <c:pt idx="32">
                    <c:v>10</c:v>
                  </c:pt>
                  <c:pt idx="33">
                    <c:v>15</c:v>
                  </c:pt>
                  <c:pt idx="34">
                    <c:v>20</c:v>
                  </c:pt>
                  <c:pt idx="35">
                    <c:v>1</c:v>
                  </c:pt>
                  <c:pt idx="36">
                    <c:v>5</c:v>
                  </c:pt>
                  <c:pt idx="37">
                    <c:v>10</c:v>
                  </c:pt>
                  <c:pt idx="38">
                    <c:v>15</c:v>
                  </c:pt>
                  <c:pt idx="39">
                    <c:v>20</c:v>
                  </c:pt>
                  <c:pt idx="40">
                    <c:v>1</c:v>
                  </c:pt>
                  <c:pt idx="41">
                    <c:v>5</c:v>
                  </c:pt>
                  <c:pt idx="42">
                    <c:v>10</c:v>
                  </c:pt>
                  <c:pt idx="43">
                    <c:v>15</c:v>
                  </c:pt>
                  <c:pt idx="44">
                    <c:v>20</c:v>
                  </c:pt>
                  <c:pt idx="45">
                    <c:v>1</c:v>
                  </c:pt>
                  <c:pt idx="46">
                    <c:v>5</c:v>
                  </c:pt>
                  <c:pt idx="47">
                    <c:v>10</c:v>
                  </c:pt>
                  <c:pt idx="48">
                    <c:v>15</c:v>
                  </c:pt>
                  <c:pt idx="49">
                    <c:v>20</c:v>
                  </c:pt>
                </c:lvl>
                <c:lvl>
                  <c:pt idx="0">
                    <c:v>50</c:v>
                  </c:pt>
                  <c:pt idx="5">
                    <c:v>100</c:v>
                  </c:pt>
                  <c:pt idx="10">
                    <c:v>500</c:v>
                  </c:pt>
                  <c:pt idx="15">
                    <c:v>1000</c:v>
                  </c:pt>
                  <c:pt idx="20">
                    <c:v>5000</c:v>
                  </c:pt>
                  <c:pt idx="25">
                    <c:v>10000</c:v>
                  </c:pt>
                  <c:pt idx="30">
                    <c:v>50000</c:v>
                  </c:pt>
                  <c:pt idx="35">
                    <c:v>100000</c:v>
                  </c:pt>
                  <c:pt idx="40">
                    <c:v>500000</c:v>
                  </c:pt>
                  <c:pt idx="45">
                    <c:v>1000000</c:v>
                  </c:pt>
                </c:lvl>
              </c:multiLvlStrCache>
            </c:multiLvlStrRef>
          </c:cat>
          <c:val>
            <c:numRef>
              <c:f>tps_time_100!$B$161:$B$221</c:f>
              <c:numCache>
                <c:formatCode>General</c:formatCode>
                <c:ptCount val="50"/>
                <c:pt idx="0">
                  <c:v>3448</c:v>
                </c:pt>
                <c:pt idx="1">
                  <c:v>3532</c:v>
                </c:pt>
                <c:pt idx="2">
                  <c:v>3961</c:v>
                </c:pt>
                <c:pt idx="3">
                  <c:v>3610</c:v>
                </c:pt>
                <c:pt idx="4">
                  <c:v>3964</c:v>
                </c:pt>
                <c:pt idx="5">
                  <c:v>3961</c:v>
                </c:pt>
                <c:pt idx="6">
                  <c:v>3964</c:v>
                </c:pt>
                <c:pt idx="7">
                  <c:v>3961</c:v>
                </c:pt>
                <c:pt idx="8">
                  <c:v>3961</c:v>
                </c:pt>
                <c:pt idx="9">
                  <c:v>3961</c:v>
                </c:pt>
                <c:pt idx="10">
                  <c:v>3491</c:v>
                </c:pt>
                <c:pt idx="11">
                  <c:v>3964</c:v>
                </c:pt>
                <c:pt idx="12">
                  <c:v>3964</c:v>
                </c:pt>
                <c:pt idx="13">
                  <c:v>3610</c:v>
                </c:pt>
                <c:pt idx="14">
                  <c:v>3613</c:v>
                </c:pt>
                <c:pt idx="15">
                  <c:v>3846</c:v>
                </c:pt>
                <c:pt idx="16">
                  <c:v>3961</c:v>
                </c:pt>
                <c:pt idx="17">
                  <c:v>3961</c:v>
                </c:pt>
                <c:pt idx="18">
                  <c:v>3961</c:v>
                </c:pt>
                <c:pt idx="19">
                  <c:v>3878</c:v>
                </c:pt>
                <c:pt idx="20">
                  <c:v>3569</c:v>
                </c:pt>
                <c:pt idx="21">
                  <c:v>3961</c:v>
                </c:pt>
                <c:pt idx="22">
                  <c:v>3688</c:v>
                </c:pt>
                <c:pt idx="23">
                  <c:v>3610</c:v>
                </c:pt>
                <c:pt idx="24">
                  <c:v>3961</c:v>
                </c:pt>
                <c:pt idx="25">
                  <c:v>3799</c:v>
                </c:pt>
                <c:pt idx="26">
                  <c:v>3961</c:v>
                </c:pt>
                <c:pt idx="27">
                  <c:v>3688</c:v>
                </c:pt>
                <c:pt idx="28">
                  <c:v>3610</c:v>
                </c:pt>
                <c:pt idx="29">
                  <c:v>3688</c:v>
                </c:pt>
                <c:pt idx="30">
                  <c:v>3688</c:v>
                </c:pt>
                <c:pt idx="31">
                  <c:v>3961</c:v>
                </c:pt>
                <c:pt idx="32">
                  <c:v>3688</c:v>
                </c:pt>
                <c:pt idx="33">
                  <c:v>3958</c:v>
                </c:pt>
                <c:pt idx="34">
                  <c:v>3961</c:v>
                </c:pt>
                <c:pt idx="35">
                  <c:v>3766</c:v>
                </c:pt>
                <c:pt idx="36">
                  <c:v>3958</c:v>
                </c:pt>
                <c:pt idx="37">
                  <c:v>3766</c:v>
                </c:pt>
                <c:pt idx="38">
                  <c:v>3961</c:v>
                </c:pt>
                <c:pt idx="39">
                  <c:v>3964</c:v>
                </c:pt>
                <c:pt idx="40">
                  <c:v>3961</c:v>
                </c:pt>
                <c:pt idx="41">
                  <c:v>3532</c:v>
                </c:pt>
                <c:pt idx="42">
                  <c:v>3964</c:v>
                </c:pt>
                <c:pt idx="43">
                  <c:v>3958</c:v>
                </c:pt>
                <c:pt idx="44">
                  <c:v>3961</c:v>
                </c:pt>
                <c:pt idx="45">
                  <c:v>3532</c:v>
                </c:pt>
                <c:pt idx="46">
                  <c:v>3688</c:v>
                </c:pt>
                <c:pt idx="47">
                  <c:v>3961</c:v>
                </c:pt>
                <c:pt idx="48">
                  <c:v>3964</c:v>
                </c:pt>
                <c:pt idx="49">
                  <c:v>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85-430B-8A0E-6B6B95BBC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2836864"/>
        <c:axId val="992837824"/>
      </c:barChart>
      <c:catAx>
        <c:axId val="99283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7824"/>
        <c:crosses val="autoZero"/>
        <c:auto val="1"/>
        <c:lblAlgn val="ctr"/>
        <c:lblOffset val="100"/>
        <c:noMultiLvlLbl val="0"/>
      </c:catAx>
      <c:valAx>
        <c:axId val="99283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[résultat_Tabou_v2.xlsx]tps_time_1000!Tableau croisé dynamique24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Moyenne tps d'exécution/nb itérations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tps_time_1000!$K$4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tps_time_1000!$J$5:$J$15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tps_time_1000!$K$5:$K$15</c:f>
              <c:numCache>
                <c:formatCode>General</c:formatCode>
                <c:ptCount val="10"/>
                <c:pt idx="0">
                  <c:v>1.2992445627848261E-2</c:v>
                </c:pt>
                <c:pt idx="1">
                  <c:v>2.524860699971513E-2</c:v>
                </c:pt>
                <c:pt idx="2">
                  <c:v>0.12704145113627072</c:v>
                </c:pt>
                <c:pt idx="3">
                  <c:v>0.25329198837280226</c:v>
                </c:pt>
                <c:pt idx="4">
                  <c:v>1.2167257944742791</c:v>
                </c:pt>
                <c:pt idx="5">
                  <c:v>2.3822288831075005</c:v>
                </c:pt>
                <c:pt idx="6">
                  <c:v>13.075259160995426</c:v>
                </c:pt>
                <c:pt idx="7">
                  <c:v>25.700399669011393</c:v>
                </c:pt>
                <c:pt idx="8">
                  <c:v>127.77557638486179</c:v>
                </c:pt>
                <c:pt idx="9">
                  <c:v>262.3415845870968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B-44B3-B68C-78A8BA51D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520639"/>
        <c:axId val="106518719"/>
      </c:lineChart>
      <c:catAx>
        <c:axId val="1065206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18719"/>
        <c:crosses val="autoZero"/>
        <c:auto val="1"/>
        <c:lblAlgn val="ctr"/>
        <c:lblOffset val="100"/>
        <c:noMultiLvlLbl val="0"/>
      </c:catAx>
      <c:valAx>
        <c:axId val="10651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2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[résultat_Tabou_v2.xlsx]tps_time_10000!Tableau croisé dynamique25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Moyenne tps d'exécution/nb itérations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tps_time_10000!$K$4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tps_time_10000!$J$5:$J$15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tps_time_10000!$K$5:$K$15</c:f>
              <c:numCache>
                <c:formatCode>General</c:formatCode>
                <c:ptCount val="10"/>
                <c:pt idx="0">
                  <c:v>0.34834923744201612</c:v>
                </c:pt>
                <c:pt idx="1">
                  <c:v>0.70138627688089938</c:v>
                </c:pt>
                <c:pt idx="2">
                  <c:v>3.7021094957987426</c:v>
                </c:pt>
                <c:pt idx="3">
                  <c:v>6.9650863965352316</c:v>
                </c:pt>
                <c:pt idx="4">
                  <c:v>34.39934741655982</c:v>
                </c:pt>
                <c:pt idx="5">
                  <c:v>67.005166053771944</c:v>
                </c:pt>
                <c:pt idx="6">
                  <c:v>331.7023353576655</c:v>
                </c:pt>
                <c:pt idx="7">
                  <c:v>644.29017273584964</c:v>
                </c:pt>
                <c:pt idx="8">
                  <c:v>3091.1012192726093</c:v>
                </c:pt>
                <c:pt idx="9">
                  <c:v>6400.4873672803187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D2-4860-A66B-964CACF9B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532639"/>
        <c:axId val="106549439"/>
      </c:lineChart>
      <c:catAx>
        <c:axId val="1065326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49439"/>
        <c:crosses val="autoZero"/>
        <c:auto val="1"/>
        <c:lblAlgn val="ctr"/>
        <c:lblOffset val="100"/>
        <c:noMultiLvlLbl val="0"/>
      </c:catAx>
      <c:valAx>
        <c:axId val="10654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532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55</xdr:row>
      <xdr:rowOff>140970</xdr:rowOff>
    </xdr:from>
    <xdr:to>
      <xdr:col>7</xdr:col>
      <xdr:colOff>2377440</xdr:colOff>
      <xdr:row>70</xdr:row>
      <xdr:rowOff>140970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A9E0D7-54A4-6C57-4ECF-956730190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125730</xdr:colOff>
      <xdr:row>72</xdr:row>
      <xdr:rowOff>57150</xdr:rowOff>
    </xdr:from>
    <xdr:to>
      <xdr:col>7</xdr:col>
      <xdr:colOff>1664970</xdr:colOff>
      <xdr:row>87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795B49-F9DD-3EC0-21C6-41C37C735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102870</xdr:colOff>
      <xdr:row>56</xdr:row>
      <xdr:rowOff>19050</xdr:rowOff>
    </xdr:from>
    <xdr:to>
      <xdr:col>7</xdr:col>
      <xdr:colOff>1539240</xdr:colOff>
      <xdr:row>71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D2237F-97DE-7919-D55D-8F5B5231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72</xdr:row>
      <xdr:rowOff>95250</xdr:rowOff>
    </xdr:from>
    <xdr:to>
      <xdr:col>7</xdr:col>
      <xdr:colOff>910590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80EF78B-A3B2-A48B-2433-BA9A877D3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487680</xdr:colOff>
      <xdr:row>56</xdr:row>
      <xdr:rowOff>148590</xdr:rowOff>
    </xdr:from>
    <xdr:to>
      <xdr:col>7</xdr:col>
      <xdr:colOff>2202180</xdr:colOff>
      <xdr:row>71</xdr:row>
      <xdr:rowOff>148590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DCCE3E3-32F5-34BE-DE1A-B5BF5A5B5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457200</xdr:colOff>
      <xdr:row>72</xdr:row>
      <xdr:rowOff>125730</xdr:rowOff>
    </xdr:from>
    <xdr:to>
      <xdr:col>7</xdr:col>
      <xdr:colOff>1196340</xdr:colOff>
      <xdr:row>87</xdr:row>
      <xdr:rowOff>125730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55D318E-3D2A-343D-13EF-593D06191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54</xdr:row>
      <xdr:rowOff>179070</xdr:rowOff>
    </xdr:from>
    <xdr:to>
      <xdr:col>7</xdr:col>
      <xdr:colOff>1935480</xdr:colOff>
      <xdr:row>69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C3A9BD-C7E6-B2EA-9661-09D65BC7F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701040</xdr:colOff>
      <xdr:row>72</xdr:row>
      <xdr:rowOff>19050</xdr:rowOff>
    </xdr:from>
    <xdr:to>
      <xdr:col>7</xdr:col>
      <xdr:colOff>1592580</xdr:colOff>
      <xdr:row>87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A59F3AF-A78A-F3D6-034F-D9AABB8D3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198120</xdr:colOff>
      <xdr:row>58</xdr:row>
      <xdr:rowOff>26670</xdr:rowOff>
    </xdr:from>
    <xdr:to>
      <xdr:col>7</xdr:col>
      <xdr:colOff>2468880</xdr:colOff>
      <xdr:row>73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68B607-290C-BB46-024C-C37191ACA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75</xdr:row>
      <xdr:rowOff>156210</xdr:rowOff>
    </xdr:from>
    <xdr:to>
      <xdr:col>7</xdr:col>
      <xdr:colOff>1844040</xdr:colOff>
      <xdr:row>90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791F654-B615-16A6-6D64-F2AEDAF7B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640080</xdr:colOff>
      <xdr:row>56</xdr:row>
      <xdr:rowOff>95250</xdr:rowOff>
    </xdr:from>
    <xdr:to>
      <xdr:col>7</xdr:col>
      <xdr:colOff>2529840</xdr:colOff>
      <xdr:row>71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A08BB6B-C8A7-284C-9F2B-45643009FF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198120</xdr:colOff>
      <xdr:row>72</xdr:row>
      <xdr:rowOff>26670</xdr:rowOff>
    </xdr:from>
    <xdr:to>
      <xdr:col>7</xdr:col>
      <xdr:colOff>1737360</xdr:colOff>
      <xdr:row>87</xdr:row>
      <xdr:rowOff>26670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8D31F55-4E79-94EF-CD88-E9157DF474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293370</xdr:colOff>
      <xdr:row>58</xdr:row>
      <xdr:rowOff>102870</xdr:rowOff>
    </xdr:from>
    <xdr:to>
      <xdr:col>7</xdr:col>
      <xdr:colOff>1935480</xdr:colOff>
      <xdr:row>73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90ED0B-D229-590F-0B22-57C3852EF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75</xdr:row>
      <xdr:rowOff>26670</xdr:rowOff>
    </xdr:from>
    <xdr:to>
      <xdr:col>7</xdr:col>
      <xdr:colOff>1024890</xdr:colOff>
      <xdr:row>90</xdr:row>
      <xdr:rowOff>26670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72E00E-AED1-9832-A248-CF7C1E2DD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56</xdr:row>
      <xdr:rowOff>49530</xdr:rowOff>
    </xdr:from>
    <xdr:to>
      <xdr:col>7</xdr:col>
      <xdr:colOff>1851660</xdr:colOff>
      <xdr:row>71</xdr:row>
      <xdr:rowOff>49530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EEBCE12-7957-3EFC-49B9-9E05F6C3F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205740</xdr:colOff>
      <xdr:row>74</xdr:row>
      <xdr:rowOff>72390</xdr:rowOff>
    </xdr:from>
    <xdr:to>
      <xdr:col>7</xdr:col>
      <xdr:colOff>944880</xdr:colOff>
      <xdr:row>89</xdr:row>
      <xdr:rowOff>72390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1E39FFB-0490-12A1-52FC-EA453E14D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716280</xdr:colOff>
      <xdr:row>55</xdr:row>
      <xdr:rowOff>102870</xdr:rowOff>
    </xdr:from>
    <xdr:to>
      <xdr:col>7</xdr:col>
      <xdr:colOff>2788920</xdr:colOff>
      <xdr:row>70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AE4E34F-7834-2FAE-C81F-C21B1371A9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601980</xdr:colOff>
      <xdr:row>73</xdr:row>
      <xdr:rowOff>57150</xdr:rowOff>
    </xdr:from>
    <xdr:to>
      <xdr:col>7</xdr:col>
      <xdr:colOff>1341120</xdr:colOff>
      <xdr:row>88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4A4EC63-7D1B-1DF1-D814-F235703F6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20</xdr:row>
      <xdr:rowOff>83820</xdr:rowOff>
    </xdr:from>
    <xdr:to>
      <xdr:col>7</xdr:col>
      <xdr:colOff>1798320</xdr:colOff>
      <xdr:row>38</xdr:row>
      <xdr:rowOff>125730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D5310B5-51BE-F096-FE88-5C7C4FD66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548640</xdr:colOff>
      <xdr:row>6</xdr:row>
      <xdr:rowOff>144780</xdr:rowOff>
    </xdr:from>
    <xdr:to>
      <xdr:col>7</xdr:col>
      <xdr:colOff>2057400</xdr:colOff>
      <xdr:row>26</xdr:row>
      <xdr:rowOff>91440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46AA1D-20BE-675B-E299-B10B3DE716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769620</xdr:colOff>
      <xdr:row>15</xdr:row>
      <xdr:rowOff>102870</xdr:rowOff>
    </xdr:from>
    <xdr:to>
      <xdr:col>16</xdr:col>
      <xdr:colOff>91440</xdr:colOff>
      <xdr:row>30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1EC04CD-2932-674C-7325-95B9B117B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156</xdr:row>
      <xdr:rowOff>3810</xdr:rowOff>
    </xdr:from>
    <xdr:to>
      <xdr:col>9</xdr:col>
      <xdr:colOff>76200</xdr:colOff>
      <xdr:row>171</xdr:row>
      <xdr:rowOff>3810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8F26AA0-691F-F205-5227-30DBB64D1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</xdr:colOff>
      <xdr:row>15</xdr:row>
      <xdr:rowOff>163830</xdr:rowOff>
    </xdr:from>
    <xdr:to>
      <xdr:col>16</xdr:col>
      <xdr:colOff>99060</xdr:colOff>
      <xdr:row>30</xdr:row>
      <xdr:rowOff>163830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3C4F2FC-BBF6-75AA-E862-69C38E01E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60960</xdr:colOff>
      <xdr:row>16</xdr:row>
      <xdr:rowOff>87630</xdr:rowOff>
    </xdr:from>
    <xdr:to>
      <xdr:col>14</xdr:col>
      <xdr:colOff>670560</xdr:colOff>
      <xdr:row>31</xdr:row>
      <xdr:rowOff>87630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C255881-6075-20AF-5EA5-509C57C06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17883564817" createdVersion="8" refreshedVersion="8" minRefreshableVersion="3" recordCount="50" xr:uid="{CA9C05C7-E79A-4332-BB1E-9E1D5A3B8BD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43" maxValue="970"/>
    </cacheField>
    <cacheField name="Total profit" numFmtId="0">
      <sharedItems containsSemiMixedTypes="0" containsString="0" containsNumber="1" containsInteger="1" minValue="773" maxValue="970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47.827348470687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26734722224" createdVersion="8" refreshedVersion="8" minRefreshableVersion="3" recordCount="50" xr:uid="{FC805EA1-44CC-48CF-94D4-A76485A0CF14}">
  <cacheSource type="worksheet">
    <worksheetSource name="results_1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7" maxValue="4556"/>
    </cacheField>
    <cacheField name="Total profit" numFmtId="0">
      <sharedItems containsSemiMixedTypes="0" containsString="0" containsNumber="1" containsInteger="1" minValue="3975" maxValue="4514" count="16">
        <n v="4431"/>
        <n v="4514"/>
        <n v="4476"/>
        <n v="4127"/>
        <n v="4400"/>
        <n v="4241"/>
        <n v="4362"/>
        <n v="4279"/>
        <n v="3975"/>
        <n v="4286"/>
        <n v="4469"/>
        <n v="4013"/>
        <n v="4089"/>
        <n v="4082"/>
        <n v="4248"/>
        <n v="4051"/>
      </sharedItems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00011825561523E-2" maxValue="332.258870363235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51548726855" createdVersion="8" refreshedVersion="8" minRefreshableVersion="3" recordCount="50" xr:uid="{BE88B655-57C7-4892-AE49-221A360E9608}">
  <cacheSource type="worksheet">
    <worksheetSource name="results_3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69"/>
    </cacheField>
    <cacheField name="Total profit" numFmtId="0">
      <sharedItems containsSemiMixedTypes="0" containsString="0" containsNumber="1" containsInteger="1" minValue="1560" maxValue="198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91397857665998E-3" maxValue="34.4936964511870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81403703704" createdVersion="8" refreshedVersion="8" minRefreshableVersion="3" recordCount="50" xr:uid="{B9EE006C-C78C-4441-9F8E-78ADF05D5A10}">
  <cacheSource type="worksheet">
    <worksheetSource name="results_4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134" maxValue="510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1998176574707E-2" maxValue="268.42133450508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95707175924" createdVersion="8" refreshedVersion="8" minRefreshableVersion="3" recordCount="50" xr:uid="{275A80D1-93B7-405B-BCC0-1865D9C0E3EE}">
  <cacheSource type="worksheet">
    <worksheetSource name="results_6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3" maxValue="997"/>
    </cacheField>
    <cacheField name="Total profit" numFmtId="0">
      <sharedItems containsSemiMixedTypes="0" containsString="0" containsNumber="1" containsInteger="1" minValue="999" maxValue="1008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3.4326715469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9.824453935187" createdVersion="8" refreshedVersion="8" minRefreshableVersion="3" recordCount="50" xr:uid="{860576D1-2169-47A0-8F77-0E05796EB600}">
  <cacheSource type="worksheet">
    <worksheetSource name="results_7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816" maxValue="4816"/>
    </cacheField>
    <cacheField name="Total weight" numFmtId="0">
      <sharedItems containsSemiMixedTypes="0" containsString="0" containsNumber="1" containsInteger="1" minValue="4815" maxValue="4816"/>
    </cacheField>
    <cacheField name="Total profit" numFmtId="0">
      <sharedItems containsSemiMixedTypes="0" containsString="0" containsNumber="1" containsInteger="1" minValue="4824" maxValue="483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9.1185569763183004E-3" maxValue="341.4854979515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9.833283680557" createdVersion="8" refreshedVersion="8" minRefreshableVersion="3" recordCount="50" xr:uid="{C6B2A1A8-A8F0-4A92-AB4E-E1CE98249070}">
  <cacheSource type="worksheet">
    <worksheetSource name="results_2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0" maxValue="45132"/>
    </cacheField>
    <cacheField name="Total profit" numFmtId="0">
      <sharedItems containsSemiMixedTypes="0" containsString="0" containsNumber="1" containsInteger="1" minValue="40530" maxValue="4285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.26148557662963801" maxValue="7653.2118065357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375303125002" createdVersion="8" refreshedVersion="8" minRefreshableVersion="3" recordCount="50" xr:uid="{74ED6E31-438E-4CD1-8886-C3D913EA728D}">
  <cacheSource type="worksheet">
    <worksheetSource name="results_5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234" maxValue="31234"/>
    </cacheField>
    <cacheField name="Total weight" numFmtId="0">
      <sharedItems containsSemiMixedTypes="0" containsString="0" containsNumber="1" containsInteger="1" minValue="31216" maxValue="31234"/>
    </cacheField>
    <cacheField name="Total profit" numFmtId="0">
      <sharedItems containsSemiMixedTypes="0" containsString="0" containsNumber="1" containsInteger="1" minValue="41028" maxValue="44382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.329652309417724" maxValue="7317.58347511290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394367476852" createdVersion="8" refreshedVersion="8" minRefreshableVersion="3" recordCount="50" xr:uid="{A32BB840-CA4E-45E8-99F8-9B8E0B7B6C23}">
  <cacheSource type="worksheet">
    <worksheetSource name="results_8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9297" maxValue="49297"/>
    </cacheField>
    <cacheField name="Total weight" numFmtId="0">
      <sharedItems containsSemiMixedTypes="0" containsString="0" containsNumber="1" containsInteger="1" minValue="49297" maxValue="49297"/>
    </cacheField>
    <cacheField name="Total profit" numFmtId="0">
      <sharedItems containsSemiMixedTypes="0" containsString="0" containsNumber="1" containsInteger="1" minValue="49386" maxValue="49434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.27962756156921298" maxValue="5820.98363876341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747999074076" createdVersion="8" refreshedVersion="8" minRefreshableVersion="3" recordCount="18" xr:uid="{45DCF4EE-B18C-4A3C-BB87-086D9EF60DDF}">
  <cacheSource type="worksheet">
    <worksheetSource name="results2_fusionné"/>
  </cacheSource>
  <cacheFields count="10">
    <cacheField name="Nom de la base" numFmtId="0">
      <sharedItems count="7">
        <s v="pi-12-1000-1000-001.kna"/>
        <s v="pi-12-10000-1000-001.kna"/>
        <s v="pi-13-1000-1000-001.kna"/>
        <s v="pi-13-10000-1000-001.kna"/>
        <s v="pi-15-100-1000-001.kna"/>
        <s v="pi-15-1000-1000-001.kna"/>
        <s v="pi-15-10000-1000-001.kna"/>
      </sharedItems>
    </cacheField>
    <cacheField name="Nombre d'iteration" numFmtId="0">
      <sharedItems containsSemiMixedTypes="0" containsString="0" containsNumber="1" containsInteger="1" minValue="50" maxValue="50000"/>
    </cacheField>
    <cacheField name="Taille liste Tabou" numFmtId="0">
      <sharedItems containsSemiMixedTypes="0" containsString="0" containsNumber="1" containsInteger="1" minValue="1" maxValue="20"/>
    </cacheField>
    <cacheField name="Poids MAx" numFmtId="0">
      <sharedItems containsSemiMixedTypes="0" containsString="0" containsNumber="1" containsInteger="1" minValue="997" maxValue="49297"/>
    </cacheField>
    <cacheField name="Total weight" numFmtId="0">
      <sharedItems containsSemiMixedTypes="0" containsString="0" containsNumber="1" containsInteger="1" minValue="996" maxValue="49297"/>
    </cacheField>
    <cacheField name="Total profit" numFmtId="0">
      <sharedItems containsSemiMixedTypes="0" containsString="0" containsNumber="1" containsInteger="1" minValue="1005" maxValue="49437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21381282806396E-2" maxValue="250.449151277542"/>
    </cacheField>
    <cacheField name="old_max_profit" numFmtId="0">
      <sharedItems containsSemiMixedTypes="0" containsString="0" containsNumber="1" containsInteger="1" minValue="1008" maxValue="494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903521875" createdVersion="8" refreshedVersion="8" minRefreshableVersion="3" recordCount="150" xr:uid="{F18938DF-C15E-481B-A0F6-5F26F727F242}">
  <cacheSource type="worksheet">
    <worksheetSource name="results_0_fusionné13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97"/>
    </cacheField>
    <cacheField name="Total weight" numFmtId="0">
      <sharedItems containsSemiMixedTypes="0" containsString="0" containsNumber="1" containsInteger="1" minValue="943" maxValue="997"/>
    </cacheField>
    <cacheField name="Total profit" numFmtId="0">
      <sharedItems containsSemiMixedTypes="0" containsString="0" containsNumber="1" containsInteger="1" minValue="773" maxValue="1989"/>
    </cacheField>
    <cacheField name="Temps d'execution" numFmtId="0">
      <sharedItems/>
    </cacheField>
    <cacheField name="tps_nb" numFmtId="0">
      <sharedItems containsSemiMixedTypes="0" containsString="0" containsNumber="1" minValue="0" maxValue="47.827348470687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907077083335" createdVersion="8" refreshedVersion="8" minRefreshableVersion="3" recordCount="150" xr:uid="{473FBFBA-CFA6-40D1-B385-37E9141EDF71}">
  <cacheSource type="worksheet">
    <worksheetSource name="results_1_fusionné14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/>
    </cacheField>
    <cacheField name="Poids MAx" numFmtId="0">
      <sharedItems containsSemiMixedTypes="0" containsString="0" containsNumber="1" containsInteger="1" minValue="3177" maxValue="4816"/>
    </cacheField>
    <cacheField name="Total weight" numFmtId="0">
      <sharedItems containsSemiMixedTypes="0" containsString="0" containsNumber="1" containsInteger="1" minValue="3160" maxValue="4816"/>
    </cacheField>
    <cacheField name="Total profit" numFmtId="0">
      <sharedItems containsSemiMixedTypes="0" containsString="0" containsNumber="1" containsInteger="1" minValue="3975" maxValue="5109"/>
    </cacheField>
    <cacheField name="Temps d'execution" numFmtId="0">
      <sharedItems/>
    </cacheField>
    <cacheField name="tps_nb" numFmtId="0">
      <sharedItems containsSemiMixedTypes="0" containsString="0" containsNumber="1" minValue="9.1185569763183004E-3" maxValue="341.4854979515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908639467591" createdVersion="8" refreshedVersion="8" minRefreshableVersion="3" recordCount="150" xr:uid="{E2DCCA2F-B2B9-425B-8F9B-13689803D66A}">
  <cacheSource type="worksheet">
    <worksheetSource name="results_2_fusionné15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/>
    </cacheField>
    <cacheField name="Poids MAx" numFmtId="0">
      <sharedItems containsSemiMixedTypes="0" containsString="0" containsNumber="1" containsInteger="1" minValue="31234" maxValue="49297"/>
    </cacheField>
    <cacheField name="Total weight" numFmtId="0">
      <sharedItems containsSemiMixedTypes="0" containsString="0" containsNumber="1" containsInteger="1" minValue="31216" maxValue="49297"/>
    </cacheField>
    <cacheField name="Total profit" numFmtId="0">
      <sharedItems containsSemiMixedTypes="0" containsString="0" containsNumber="1" containsInteger="1" minValue="40530" maxValue="49434"/>
    </cacheField>
    <cacheField name="Temps d'execution" numFmtId="0">
      <sharedItems/>
    </cacheField>
    <cacheField name="tps_nb" numFmtId="0">
      <sharedItems containsSemiMixedTypes="0" containsString="0" containsNumber="1" minValue="0.26148557662963801" maxValue="7653.2118065357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60.963652430553" createdVersion="8" refreshedVersion="8" minRefreshableVersion="3" recordCount="3" xr:uid="{E64554F4-E694-4599-B67C-68D65E75C38C}">
  <cacheSource type="worksheet">
    <worksheetSource name="resultsFinale_fusionné"/>
  </cacheSource>
  <cacheFields count="9">
    <cacheField name="Nom de la base" numFmtId="0">
      <sharedItems count="3">
        <s v="pi-13-10000-1000-001.kna"/>
        <s v="pi-13-1000-1000-001.kna"/>
        <s v="pi-15-10000-1000-001.kna"/>
      </sharedItems>
    </cacheField>
    <cacheField name="Nombre d'iteration" numFmtId="0">
      <sharedItems containsSemiMixedTypes="0" containsString="0" containsNumber="1" containsInteger="1" minValue="50" maxValue="5000"/>
    </cacheField>
    <cacheField name="Taille liste Tabou" numFmtId="0">
      <sharedItems containsSemiMixedTypes="0" containsString="0" containsNumber="1" containsInteger="1" minValue="10" maxValue="20"/>
    </cacheField>
    <cacheField name="Poids MAx" numFmtId="0">
      <sharedItems containsSemiMixedTypes="0" containsString="0" containsNumber="1" containsInteger="1" minValue="3177" maxValue="49297"/>
    </cacheField>
    <cacheField name="Total weight" numFmtId="0">
      <sharedItems containsSemiMixedTypes="0" containsString="0" containsNumber="1" containsInteger="1" minValue="3172" maxValue="49297"/>
    </cacheField>
    <cacheField name="Total profit" numFmtId="0">
      <sharedItems containsSemiMixedTypes="0" containsString="0" containsNumber="1" containsInteger="1" minValue="5772" maxValue="49449"/>
    </cacheField>
    <cacheField name="Temps d'execution" numFmtId="0">
      <sharedItems/>
    </cacheField>
    <cacheField name="Fichier solution" numFmtId="0">
      <sharedItems/>
    </cacheField>
    <cacheField name="pred_profit" numFmtId="0">
      <sharedItems containsSemiMixedTypes="0" containsString="0" containsNumber="1" containsInteger="1" minValue="5421" maxValue="494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47.827348470687866"/>
    <s v="results/0/item_solutions/pi-12-100-1000-001.kna_1000000_1_items.csv"/>
    <n v="47.827348470687802"/>
  </r>
  <r>
    <s v="pi-12-100-1000-001.kna"/>
    <x v="0"/>
    <x v="1"/>
    <n v="970"/>
    <n v="970"/>
    <n v="970"/>
    <s v="0.0"/>
    <s v="results/0/item_solutions/pi-12-100-1000-001.kna_1000000_10_items.csv"/>
    <n v="0"/>
  </r>
  <r>
    <s v="pi-12-100-1000-001.kna"/>
    <x v="0"/>
    <x v="2"/>
    <n v="970"/>
    <n v="970"/>
    <n v="970"/>
    <s v="0.001162052154541"/>
    <s v="results/0/item_solutions/pi-12-100-1000-001.kna_1000000_15_items.csv"/>
    <n v="1.162052154541E-3"/>
  </r>
  <r>
    <s v="pi-12-100-1000-001.kna"/>
    <x v="0"/>
    <x v="3"/>
    <n v="970"/>
    <n v="970"/>
    <n v="970"/>
    <s v="0.0"/>
    <s v="results/0/item_solutions/pi-12-100-1000-001.kna_1000000_20_items.csv"/>
    <n v="0"/>
  </r>
  <r>
    <s v="pi-12-100-1000-001.kna"/>
    <x v="0"/>
    <x v="4"/>
    <n v="970"/>
    <n v="970"/>
    <n v="970"/>
    <s v="0.0013794898986816"/>
    <s v="results/0/item_solutions/pi-12-100-1000-001.kna_1000000_5_items.csv"/>
    <n v="1.3794898986816001E-3"/>
  </r>
  <r>
    <s v="pi-12-100-1000-001.kna"/>
    <x v="1"/>
    <x v="0"/>
    <n v="970"/>
    <n v="970"/>
    <n v="970"/>
    <s v="4.911705255508423"/>
    <s v="results/0/item_solutions/pi-12-100-1000-001.kna_100000_1_items.csv"/>
    <n v="4.9117052555084202"/>
  </r>
  <r>
    <s v="pi-12-100-1000-001.kna"/>
    <x v="1"/>
    <x v="1"/>
    <n v="970"/>
    <n v="970"/>
    <n v="970"/>
    <s v="0.0"/>
    <s v="results/0/item_solutions/pi-12-100-1000-001.kna_100000_10_items.csv"/>
    <n v="0"/>
  </r>
  <r>
    <s v="pi-12-100-1000-001.kna"/>
    <x v="1"/>
    <x v="2"/>
    <n v="970"/>
    <n v="970"/>
    <n v="970"/>
    <s v="3.674217700958252"/>
    <s v="results/0/item_solutions/pi-12-100-1000-001.kna_100000_15_items.csv"/>
    <n v="3.6742177009582502"/>
  </r>
  <r>
    <s v="pi-12-100-1000-001.kna"/>
    <x v="1"/>
    <x v="3"/>
    <n v="970"/>
    <n v="970"/>
    <n v="970"/>
    <s v="0.0009984970092773"/>
    <s v="results/0/item_solutions/pi-12-100-1000-001.kna_100000_20_items.csv"/>
    <n v="9.9849700927729995E-4"/>
  </r>
  <r>
    <s v="pi-12-100-1000-001.kna"/>
    <x v="1"/>
    <x v="4"/>
    <n v="970"/>
    <n v="970"/>
    <n v="970"/>
    <s v="4.1733338832855225"/>
    <s v="results/0/item_solutions/pi-12-100-1000-001.kna_100000_5_items.csv"/>
    <n v="4.1733338832855198"/>
  </r>
  <r>
    <s v="pi-12-100-1000-001.kna"/>
    <x v="2"/>
    <x v="0"/>
    <n v="970"/>
    <n v="951"/>
    <n v="811"/>
    <s v="0.6841146945953369"/>
    <s v="results/0/item_solutions/pi-12-100-1000-001.kna_10000_1_items.csv"/>
    <n v="0.68411469459533603"/>
  </r>
  <r>
    <s v="pi-12-100-1000-001.kna"/>
    <x v="2"/>
    <x v="1"/>
    <n v="970"/>
    <n v="970"/>
    <n v="970"/>
    <s v="0.0019941329956054"/>
    <s v="results/0/item_solutions/pi-12-100-1000-001.kna_10000_10_items.csv"/>
    <n v="1.9941329956053998E-3"/>
  </r>
  <r>
    <s v="pi-12-100-1000-001.kna"/>
    <x v="2"/>
    <x v="2"/>
    <n v="970"/>
    <n v="970"/>
    <n v="970"/>
    <s v="0.0039925575256347"/>
    <s v="results/0/item_solutions/pi-12-100-1000-001.kna_10000_15_items.csv"/>
    <n v="3.9925575256346997E-3"/>
  </r>
  <r>
    <s v="pi-12-100-1000-001.kna"/>
    <x v="2"/>
    <x v="3"/>
    <n v="970"/>
    <n v="970"/>
    <n v="970"/>
    <s v="0.0019953250885009"/>
    <s v="results/0/item_solutions/pi-12-100-1000-001.kna_10000_20_items.csv"/>
    <n v="1.9953250885008998E-3"/>
  </r>
  <r>
    <s v="pi-12-100-1000-001.kna"/>
    <x v="2"/>
    <x v="4"/>
    <n v="970"/>
    <n v="970"/>
    <n v="970"/>
    <s v="0.5117642879486084"/>
    <s v="results/0/item_solutions/pi-12-100-1000-001.kna_10000_5_items.csv"/>
    <n v="0.51176428794860795"/>
  </r>
  <r>
    <s v="pi-12-100-1000-001.kna"/>
    <x v="3"/>
    <x v="0"/>
    <n v="970"/>
    <n v="947"/>
    <n v="849"/>
    <s v="0.0663702487945556"/>
    <s v="results/0/item_solutions/pi-12-100-1000-001.kna_1000_1_items.csv"/>
    <n v="6.6370248794555595E-2"/>
  </r>
  <r>
    <s v="pi-12-100-1000-001.kna"/>
    <x v="3"/>
    <x v="1"/>
    <n v="970"/>
    <n v="970"/>
    <n v="970"/>
    <s v="0.0025446414947509"/>
    <s v="results/0/item_solutions/pi-12-100-1000-001.kna_1000_10_items.csv"/>
    <n v="2.5446414947508998E-3"/>
  </r>
  <r>
    <s v="pi-12-100-1000-001.kna"/>
    <x v="3"/>
    <x v="2"/>
    <n v="970"/>
    <n v="970"/>
    <n v="970"/>
    <s v="0.0031938552856445"/>
    <s v="results/0/item_solutions/pi-12-100-1000-001.kna_1000_15_items.csv"/>
    <n v="3.1938552856445E-3"/>
  </r>
  <r>
    <s v="pi-12-100-1000-001.kna"/>
    <x v="3"/>
    <x v="3"/>
    <n v="970"/>
    <n v="943"/>
    <n v="887"/>
    <s v="0.0667009353637695"/>
    <s v="results/0/item_solutions/pi-12-100-1000-001.kna_1000_20_items.csv"/>
    <n v="6.6700935363769503E-2"/>
  </r>
  <r>
    <s v="pi-12-100-1000-001.kna"/>
    <x v="3"/>
    <x v="4"/>
    <n v="970"/>
    <n v="970"/>
    <n v="970"/>
    <s v="0.0829310417175293"/>
    <s v="results/0/item_solutions/pi-12-100-1000-001.kna_1000_5_items.csv"/>
    <n v="8.2931041717529297E-2"/>
  </r>
  <r>
    <s v="pi-12-100-1000-001.kna"/>
    <x v="4"/>
    <x v="0"/>
    <n v="970"/>
    <n v="970"/>
    <n v="970"/>
    <s v="0.0059912204742431"/>
    <s v="results/0/item_solutions/pi-12-100-1000-001.kna_100_1_items.csv"/>
    <n v="5.9912204742430999E-3"/>
  </r>
  <r>
    <s v="pi-12-100-1000-001.kna"/>
    <x v="4"/>
    <x v="1"/>
    <n v="970"/>
    <n v="970"/>
    <n v="970"/>
    <s v="0.0"/>
    <s v="results/0/item_solutions/pi-12-100-1000-001.kna_100_10_items.csv"/>
    <n v="0"/>
  </r>
  <r>
    <s v="pi-12-100-1000-001.kna"/>
    <x v="4"/>
    <x v="2"/>
    <n v="970"/>
    <n v="970"/>
    <n v="970"/>
    <s v="0.0012164115905761"/>
    <s v="results/0/item_solutions/pi-12-100-1000-001.kna_100_15_items.csv"/>
    <n v="1.2164115905761001E-3"/>
  </r>
  <r>
    <s v="pi-12-100-1000-001.kna"/>
    <x v="4"/>
    <x v="3"/>
    <n v="970"/>
    <n v="970"/>
    <n v="970"/>
    <s v="0.000993013381958"/>
    <s v="results/0/item_solutions/pi-12-100-1000-001.kna_100_20_items.csv"/>
    <n v="9.9301338195800001E-4"/>
  </r>
  <r>
    <s v="pi-12-100-1000-001.kna"/>
    <x v="4"/>
    <x v="4"/>
    <n v="970"/>
    <n v="970"/>
    <n v="970"/>
    <s v="0.0060231685638427"/>
    <s v="results/0/item_solutions/pi-12-100-1000-001.kna_100_5_items.csv"/>
    <n v="6.0231685638426997E-3"/>
  </r>
  <r>
    <s v="pi-12-100-1000-001.kna"/>
    <x v="5"/>
    <x v="0"/>
    <n v="970"/>
    <n v="970"/>
    <n v="970"/>
    <s v="25.204922676086422"/>
    <s v="results/0/item_solutions/pi-12-100-1000-001.kna_500000_1_items.csv"/>
    <n v="25.204922676086401"/>
  </r>
  <r>
    <s v="pi-12-100-1000-001.kna"/>
    <x v="5"/>
    <x v="1"/>
    <n v="970"/>
    <n v="970"/>
    <n v="970"/>
    <s v="0.0010476112365722"/>
    <s v="results/0/item_solutions/pi-12-100-1000-001.kna_500000_10_items.csv"/>
    <n v="1.0476112365721999E-3"/>
  </r>
  <r>
    <s v="pi-12-100-1000-001.kna"/>
    <x v="5"/>
    <x v="2"/>
    <n v="970"/>
    <n v="970"/>
    <n v="970"/>
    <s v="0.0037882328033447"/>
    <s v="results/0/item_solutions/pi-12-100-1000-001.kna_500000_15_items.csv"/>
    <n v="3.7882328033447001E-3"/>
  </r>
  <r>
    <s v="pi-12-100-1000-001.kna"/>
    <x v="5"/>
    <x v="3"/>
    <n v="970"/>
    <n v="970"/>
    <n v="970"/>
    <s v="0.0021235942840576"/>
    <s v="results/0/item_solutions/pi-12-100-1000-001.kna_500000_20_items.csv"/>
    <n v="2.1235942840575998E-3"/>
  </r>
  <r>
    <s v="pi-12-100-1000-001.kna"/>
    <x v="5"/>
    <x v="4"/>
    <n v="970"/>
    <n v="970"/>
    <n v="970"/>
    <s v="0.0019843578338623"/>
    <s v="results/0/item_solutions/pi-12-100-1000-001.kna_500000_5_items.csv"/>
    <n v="1.9843578338622999E-3"/>
  </r>
  <r>
    <s v="pi-12-100-1000-001.kna"/>
    <x v="6"/>
    <x v="0"/>
    <n v="970"/>
    <n v="970"/>
    <n v="970"/>
    <s v="3.939992904663086"/>
    <s v="results/0/item_solutions/pi-12-100-1000-001.kna_50000_1_items.csv"/>
    <n v="3.9399929046630802"/>
  </r>
  <r>
    <s v="pi-12-100-1000-001.kna"/>
    <x v="6"/>
    <x v="1"/>
    <n v="970"/>
    <n v="970"/>
    <n v="970"/>
    <s v="0.0015130043029785"/>
    <s v="results/0/item_solutions/pi-12-100-1000-001.kna_50000_10_items.csv"/>
    <n v="1.5130043029785E-3"/>
  </r>
  <r>
    <s v="pi-12-100-1000-001.kna"/>
    <x v="6"/>
    <x v="2"/>
    <n v="970"/>
    <n v="970"/>
    <n v="970"/>
    <s v="0.0011842250823974"/>
    <s v="results/0/item_solutions/pi-12-100-1000-001.kna_50000_15_items.csv"/>
    <n v="1.1842250823974E-3"/>
  </r>
  <r>
    <s v="pi-12-100-1000-001.kna"/>
    <x v="6"/>
    <x v="3"/>
    <n v="970"/>
    <n v="970"/>
    <n v="970"/>
    <s v="0.0010817050933837"/>
    <s v="results/0/item_solutions/pi-12-100-1000-001.kna_50000_20_items.csv"/>
    <n v="1.0817050933836999E-3"/>
  </r>
  <r>
    <s v="pi-12-100-1000-001.kna"/>
    <x v="6"/>
    <x v="4"/>
    <n v="970"/>
    <n v="970"/>
    <n v="970"/>
    <s v="2.343127012252808"/>
    <s v="results/0/item_solutions/pi-12-100-1000-001.kna_50000_5_items.csv"/>
    <n v="2.3431270122528001"/>
  </r>
  <r>
    <s v="pi-12-100-1000-001.kna"/>
    <x v="7"/>
    <x v="0"/>
    <n v="970"/>
    <n v="955"/>
    <n v="773"/>
    <s v="0.2890429496765136"/>
    <s v="results/0/item_solutions/pi-12-100-1000-001.kna_5000_1_items.csv"/>
    <n v="0.28904294967651301"/>
  </r>
  <r>
    <s v="pi-12-100-1000-001.kna"/>
    <x v="7"/>
    <x v="1"/>
    <n v="970"/>
    <n v="970"/>
    <n v="970"/>
    <s v="0.0"/>
    <s v="results/0/item_solutions/pi-12-100-1000-001.kna_5000_10_items.csv"/>
    <n v="0"/>
  </r>
  <r>
    <s v="pi-12-100-1000-001.kna"/>
    <x v="7"/>
    <x v="2"/>
    <n v="970"/>
    <n v="970"/>
    <n v="970"/>
    <s v="0.0010185241699218"/>
    <s v="results/0/item_solutions/pi-12-100-1000-001.kna_5000_15_items.csv"/>
    <n v="1.0185241699218E-3"/>
  </r>
  <r>
    <s v="pi-12-100-1000-001.kna"/>
    <x v="7"/>
    <x v="3"/>
    <n v="970"/>
    <n v="970"/>
    <n v="970"/>
    <s v="0.0024068355560302"/>
    <s v="results/0/item_solutions/pi-12-100-1000-001.kna_5000_20_items.csv"/>
    <n v="2.4068355560302001E-3"/>
  </r>
  <r>
    <s v="pi-12-100-1000-001.kna"/>
    <x v="7"/>
    <x v="4"/>
    <n v="970"/>
    <n v="970"/>
    <n v="970"/>
    <s v="0.0010056495666503"/>
    <s v="results/0/item_solutions/pi-12-100-1000-001.kna_5000_5_items.csv"/>
    <n v="1.0056495666503E-3"/>
  </r>
  <r>
    <s v="pi-12-100-1000-001.kna"/>
    <x v="8"/>
    <x v="0"/>
    <n v="970"/>
    <n v="955"/>
    <n v="773"/>
    <s v="0.0221638679504394"/>
    <s v="results/0/item_solutions/pi-12-100-1000-001.kna_500_1_items.csv"/>
    <n v="2.2163867950439401E-2"/>
  </r>
  <r>
    <s v="pi-12-100-1000-001.kna"/>
    <x v="8"/>
    <x v="1"/>
    <n v="970"/>
    <n v="970"/>
    <n v="970"/>
    <s v="0.0334725379943847"/>
    <s v="results/0/item_solutions/pi-12-100-1000-001.kna_500_10_items.csv"/>
    <n v="3.3472537994384703E-2"/>
  </r>
  <r>
    <s v="pi-12-100-1000-001.kna"/>
    <x v="8"/>
    <x v="2"/>
    <n v="970"/>
    <n v="970"/>
    <n v="970"/>
    <s v="0.0010435581207275"/>
    <s v="results/0/item_solutions/pi-12-100-1000-001.kna_500_15_items.csv"/>
    <n v="1.0435581207275E-3"/>
  </r>
  <r>
    <s v="pi-12-100-1000-001.kna"/>
    <x v="8"/>
    <x v="3"/>
    <n v="970"/>
    <n v="970"/>
    <n v="970"/>
    <s v="0.0042078495025634"/>
    <s v="results/0/item_solutions/pi-12-100-1000-001.kna_500_20_items.csv"/>
    <n v="4.2078495025634002E-3"/>
  </r>
  <r>
    <s v="pi-12-100-1000-001.kna"/>
    <x v="8"/>
    <x v="4"/>
    <n v="970"/>
    <n v="970"/>
    <n v="970"/>
    <s v="0.0"/>
    <s v="results/0/item_solutions/pi-12-100-1000-001.kna_500_5_items.csv"/>
    <n v="0"/>
  </r>
  <r>
    <s v="pi-12-100-1000-001.kna"/>
    <x v="9"/>
    <x v="0"/>
    <n v="970"/>
    <n v="951"/>
    <n v="811"/>
    <s v="0.0239686965942382"/>
    <s v="results/0/item_solutions/pi-12-100-1000-001.kna_50_1_items.csv"/>
    <n v="2.3968696594238201E-2"/>
  </r>
  <r>
    <s v="pi-12-100-1000-001.kna"/>
    <x v="9"/>
    <x v="1"/>
    <n v="970"/>
    <n v="970"/>
    <n v="970"/>
    <s v="0.0"/>
    <s v="results/0/item_solutions/pi-12-100-1000-001.kna_50_10_items.csv"/>
    <n v="0"/>
  </r>
  <r>
    <s v="pi-12-100-1000-001.kna"/>
    <x v="9"/>
    <x v="2"/>
    <n v="970"/>
    <n v="970"/>
    <n v="970"/>
    <s v="0.0010437965393066"/>
    <s v="results/0/item_solutions/pi-12-100-1000-001.kna_50_15_items.csv"/>
    <n v="1.0437965393066001E-3"/>
  </r>
  <r>
    <s v="pi-12-100-1000-001.kna"/>
    <x v="9"/>
    <x v="3"/>
    <n v="970"/>
    <n v="970"/>
    <n v="970"/>
    <s v="0.0"/>
    <s v="results/0/item_solutions/pi-12-100-1000-001.kna_50_20_items.csv"/>
    <n v="0"/>
  </r>
  <r>
    <s v="pi-12-100-1000-001.kna"/>
    <x v="9"/>
    <x v="4"/>
    <n v="970"/>
    <n v="970"/>
    <n v="970"/>
    <s v="0.0010702610015869"/>
    <s v="results/0/item_solutions/pi-12-100-1000-001.kna_50_5_items.csv"/>
    <n v="1.0702610015869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01"/>
    <x v="0"/>
    <s v="271.08083319664"/>
    <s v="results/1/item_solutions/pi-12-1000-1000-001.kna_1000000_1_items.csv"/>
    <n v="271.08083319664001"/>
  </r>
  <r>
    <s v="pi-12-1000-1000-001.kna"/>
    <x v="0"/>
    <x v="1"/>
    <n v="4556"/>
    <n v="4528"/>
    <x v="1"/>
    <s v="251.1317727565765"/>
    <s v="results/1/item_solutions/pi-12-1000-1000-001.kna_1000000_10_items.csv"/>
    <n v="251.131772756576"/>
  </r>
  <r>
    <s v="pi-12-1000-1000-001.kna"/>
    <x v="0"/>
    <x v="2"/>
    <n v="4556"/>
    <n v="4532"/>
    <x v="2"/>
    <s v="200.94095134735107"/>
    <s v="results/1/item_solutions/pi-12-1000-1000-001.kna_1000000_15_items.csv"/>
    <n v="200.94095134735099"/>
  </r>
  <r>
    <s v="pi-12-1000-1000-001.kna"/>
    <x v="0"/>
    <x v="3"/>
    <n v="4556"/>
    <n v="4533"/>
    <x v="3"/>
    <s v="267.1831636428833"/>
    <s v="results/1/item_solutions/pi-12-1000-1000-001.kna_1000000_20_items.csv"/>
    <n v="267.18316364288302"/>
  </r>
  <r>
    <s v="pi-12-1000-1000-001.kna"/>
    <x v="0"/>
    <x v="4"/>
    <n v="4556"/>
    <n v="4540"/>
    <x v="4"/>
    <s v="332.2588703632355"/>
    <s v="results/1/item_solutions/pi-12-1000-1000-001.kna_1000000_5_items.csv"/>
    <n v="332.25887036323502"/>
  </r>
  <r>
    <s v="pi-12-1000-1000-001.kna"/>
    <x v="1"/>
    <x v="0"/>
    <n v="4556"/>
    <n v="4521"/>
    <x v="5"/>
    <s v="26.69176745414734"/>
    <s v="results/1/item_solutions/pi-12-1000-1000-001.kna_100000_1_items.csv"/>
    <n v="26.6917674541473"/>
  </r>
  <r>
    <s v="pi-12-1000-1000-001.kna"/>
    <x v="1"/>
    <x v="1"/>
    <n v="4556"/>
    <n v="4544"/>
    <x v="6"/>
    <s v="24.015660285949707"/>
    <s v="results/1/item_solutions/pi-12-1000-1000-001.kna_100000_10_items.csv"/>
    <n v="24.0156602859497"/>
  </r>
  <r>
    <s v="pi-12-1000-1000-001.kna"/>
    <x v="1"/>
    <x v="2"/>
    <n v="4556"/>
    <n v="4517"/>
    <x v="7"/>
    <s v="27.432199716567997"/>
    <s v="results/1/item_solutions/pi-12-1000-1000-001.kna_100000_15_items.csv"/>
    <n v="27.432199716567901"/>
  </r>
  <r>
    <s v="pi-12-1000-1000-001.kna"/>
    <x v="1"/>
    <x v="3"/>
    <n v="4556"/>
    <n v="4549"/>
    <x v="8"/>
    <s v="29.74497103691101"/>
    <s v="results/1/item_solutions/pi-12-1000-1000-001.kna_100000_20_items.csv"/>
    <n v="29.744971036911"/>
  </r>
  <r>
    <s v="pi-12-1000-1000-001.kna"/>
    <x v="1"/>
    <x v="4"/>
    <n v="4556"/>
    <n v="4532"/>
    <x v="2"/>
    <s v="24.386036157608032"/>
    <s v="results/1/item_solutions/pi-12-1000-1000-001.kna_100000_5_items.csv"/>
    <n v="24.386036157608"/>
  </r>
  <r>
    <s v="pi-12-1000-1000-001.kna"/>
    <x v="2"/>
    <x v="0"/>
    <n v="4556"/>
    <n v="4528"/>
    <x v="1"/>
    <s v="2.2105422019958496"/>
    <s v="results/1/item_solutions/pi-12-1000-1000-001.kna_10000_1_items.csv"/>
    <n v="2.2105422019958398"/>
  </r>
  <r>
    <s v="pi-12-1000-1000-001.kna"/>
    <x v="2"/>
    <x v="1"/>
    <n v="4556"/>
    <n v="4552"/>
    <x v="9"/>
    <s v="2.273202419281006"/>
    <s v="results/1/item_solutions/pi-12-1000-1000-001.kna_10000_10_items.csv"/>
    <n v="2.2732024192810001"/>
  </r>
  <r>
    <s v="pi-12-1000-1000-001.kna"/>
    <x v="2"/>
    <x v="2"/>
    <n v="4556"/>
    <n v="4497"/>
    <x v="10"/>
    <s v="2.735210418701172"/>
    <s v="results/1/item_solutions/pi-12-1000-1000-001.kna_10000_15_items.csv"/>
    <n v="2.7352104187011701"/>
  </r>
  <r>
    <s v="pi-12-1000-1000-001.kna"/>
    <x v="2"/>
    <x v="3"/>
    <n v="4556"/>
    <n v="4545"/>
    <x v="11"/>
    <s v="2.079288959503174"/>
    <s v="results/1/item_solutions/pi-12-1000-1000-001.kna_10000_20_items.csv"/>
    <n v="2.0792889595031698"/>
  </r>
  <r>
    <s v="pi-12-1000-1000-001.kna"/>
    <x v="2"/>
    <x v="4"/>
    <n v="4556"/>
    <n v="4537"/>
    <x v="12"/>
    <s v="1.95346999168396"/>
    <s v="results/1/item_solutions/pi-12-1000-1000-001.kna_10000_5_items.csv"/>
    <n v="1.95346999168396"/>
  </r>
  <r>
    <s v="pi-12-1000-1000-001.kna"/>
    <x v="3"/>
    <x v="0"/>
    <n v="4556"/>
    <n v="4532"/>
    <x v="2"/>
    <s v="0.2186875343322754"/>
    <s v="results/1/item_solutions/pi-12-1000-1000-001.kna_1000_1_items.csv"/>
    <n v="0.218687534332275"/>
  </r>
  <r>
    <s v="pi-12-1000-1000-001.kna"/>
    <x v="3"/>
    <x v="1"/>
    <n v="4556"/>
    <n v="4528"/>
    <x v="1"/>
    <s v="0.2182381153106689"/>
    <s v="results/1/item_solutions/pi-12-1000-1000-001.kna_1000_10_items.csv"/>
    <n v="0.218238115310668"/>
  </r>
  <r>
    <s v="pi-12-1000-1000-001.kna"/>
    <x v="3"/>
    <x v="2"/>
    <n v="4556"/>
    <n v="4528"/>
    <x v="1"/>
    <s v="0.2766904830932617"/>
    <s v="results/1/item_solutions/pi-12-1000-1000-001.kna_1000_15_items.csv"/>
    <n v="0.276690483093261"/>
  </r>
  <r>
    <s v="pi-12-1000-1000-001.kna"/>
    <x v="3"/>
    <x v="3"/>
    <n v="4556"/>
    <n v="4528"/>
    <x v="1"/>
    <s v="0.2378828525543213"/>
    <s v="results/1/item_solutions/pi-12-1000-1000-001.kna_1000_20_items.csv"/>
    <n v="0.23788285255432101"/>
  </r>
  <r>
    <s v="pi-12-1000-1000-001.kna"/>
    <x v="3"/>
    <x v="4"/>
    <n v="4556"/>
    <n v="4528"/>
    <x v="1"/>
    <s v="0.2913706302642822"/>
    <s v="results/1/item_solutions/pi-12-1000-1000-001.kna_1000_5_items.csv"/>
    <n v="0.291370630264282"/>
  </r>
  <r>
    <s v="pi-12-1000-1000-001.kna"/>
    <x v="4"/>
    <x v="0"/>
    <n v="4556"/>
    <n v="4540"/>
    <x v="4"/>
    <s v="0.0210342407226562"/>
    <s v="results/1/item_solutions/pi-12-1000-1000-001.kna_100_1_items.csv"/>
    <n v="2.1034240722656201E-2"/>
  </r>
  <r>
    <s v="pi-12-1000-1000-001.kna"/>
    <x v="4"/>
    <x v="1"/>
    <n v="4556"/>
    <n v="4528"/>
    <x v="1"/>
    <s v="0.0302066802978515"/>
    <s v="results/1/item_solutions/pi-12-1000-1000-001.kna_100_10_items.csv"/>
    <n v="3.02066802978515E-2"/>
  </r>
  <r>
    <s v="pi-12-1000-1000-001.kna"/>
    <x v="4"/>
    <x v="2"/>
    <n v="4556"/>
    <n v="4540"/>
    <x v="4"/>
    <s v="0.0280330181121826"/>
    <s v="results/1/item_solutions/pi-12-1000-1000-001.kna_100_15_items.csv"/>
    <n v="2.80330181121826E-2"/>
  </r>
  <r>
    <s v="pi-12-1000-1000-001.kna"/>
    <x v="4"/>
    <x v="3"/>
    <n v="4556"/>
    <n v="4528"/>
    <x v="1"/>
    <s v="0.0311417579650878"/>
    <s v="results/1/item_solutions/pi-12-1000-1000-001.kna_100_20_items.csv"/>
    <n v="3.11417579650878E-2"/>
  </r>
  <r>
    <s v="pi-12-1000-1000-001.kna"/>
    <x v="4"/>
    <x v="4"/>
    <n v="4556"/>
    <n v="4532"/>
    <x v="2"/>
    <s v="0.0260205268859863"/>
    <s v="results/1/item_solutions/pi-12-1000-1000-001.kna_100_5_items.csv"/>
    <n v="2.60205268859863E-2"/>
  </r>
  <r>
    <s v="pi-12-1000-1000-001.kna"/>
    <x v="5"/>
    <x v="0"/>
    <n v="4556"/>
    <n v="4502"/>
    <x v="13"/>
    <s v="149.51319432258606"/>
    <s v="results/1/item_solutions/pi-12-1000-1000-001.kna_500000_1_items.csv"/>
    <n v="149.513194322586"/>
  </r>
  <r>
    <s v="pi-12-1000-1000-001.kna"/>
    <x v="5"/>
    <x v="1"/>
    <n v="4556"/>
    <n v="4533"/>
    <x v="3"/>
    <s v="117.74605417251588"/>
    <s v="results/1/item_solutions/pi-12-1000-1000-001.kna_500000_10_items.csv"/>
    <n v="117.746054172515"/>
  </r>
  <r>
    <s v="pi-12-1000-1000-001.kna"/>
    <x v="5"/>
    <x v="2"/>
    <n v="4556"/>
    <n v="4532"/>
    <x v="2"/>
    <s v="127.34297037124634"/>
    <s v="results/1/item_solutions/pi-12-1000-1000-001.kna_500000_15_items.csv"/>
    <n v="127.342970371246"/>
  </r>
  <r>
    <s v="pi-12-1000-1000-001.kna"/>
    <x v="5"/>
    <x v="3"/>
    <n v="4556"/>
    <n v="4528"/>
    <x v="1"/>
    <s v="132.48358607292175"/>
    <s v="results/1/item_solutions/pi-12-1000-1000-001.kna_500000_20_items.csv"/>
    <n v="132.48358607292101"/>
  </r>
  <r>
    <s v="pi-12-1000-1000-001.kna"/>
    <x v="5"/>
    <x v="4"/>
    <n v="4556"/>
    <n v="4533"/>
    <x v="3"/>
    <s v="130.34318709373474"/>
    <s v="results/1/item_solutions/pi-12-1000-1000-001.kna_500000_5_items.csv"/>
    <n v="130.343187093734"/>
  </r>
  <r>
    <s v="pi-12-1000-1000-001.kna"/>
    <x v="6"/>
    <x v="0"/>
    <n v="4556"/>
    <n v="4556"/>
    <x v="14"/>
    <s v="10.025272369384766"/>
    <s v="results/1/item_solutions/pi-12-1000-1000-001.kna_50000_1_items.csv"/>
    <n v="10.0252723693847"/>
  </r>
  <r>
    <s v="pi-12-1000-1000-001.kna"/>
    <x v="6"/>
    <x v="1"/>
    <n v="4556"/>
    <n v="4497"/>
    <x v="10"/>
    <s v="14.63386583328247"/>
    <s v="results/1/item_solutions/pi-12-1000-1000-001.kna_50000_10_items.csv"/>
    <n v="14.6338658332824"/>
  </r>
  <r>
    <s v="pi-12-1000-1000-001.kna"/>
    <x v="6"/>
    <x v="2"/>
    <n v="4556"/>
    <n v="4541"/>
    <x v="15"/>
    <s v="11.29798698425293"/>
    <s v="results/1/item_solutions/pi-12-1000-1000-001.kna_50000_15_items.csv"/>
    <n v="11.297986984252899"/>
  </r>
  <r>
    <s v="pi-12-1000-1000-001.kna"/>
    <x v="6"/>
    <x v="3"/>
    <n v="4556"/>
    <n v="4533"/>
    <x v="3"/>
    <s v="11.255826711654665"/>
    <s v="results/1/item_solutions/pi-12-1000-1000-001.kna_50000_20_items.csv"/>
    <n v="11.255826711654599"/>
  </r>
  <r>
    <s v="pi-12-1000-1000-001.kna"/>
    <x v="6"/>
    <x v="4"/>
    <n v="4556"/>
    <n v="4532"/>
    <x v="2"/>
    <s v="12.47083592414856"/>
    <s v="results/1/item_solutions/pi-12-1000-1000-001.kna_50000_5_items.csv"/>
    <n v="12.470835924148499"/>
  </r>
  <r>
    <s v="pi-12-1000-1000-001.kna"/>
    <x v="7"/>
    <x v="0"/>
    <n v="4556"/>
    <n v="4540"/>
    <x v="4"/>
    <s v="1.0353460311889648"/>
    <s v="results/1/item_solutions/pi-12-1000-1000-001.kna_5000_1_items.csv"/>
    <n v="1.03534603118896"/>
  </r>
  <r>
    <s v="pi-12-1000-1000-001.kna"/>
    <x v="7"/>
    <x v="1"/>
    <n v="4556"/>
    <n v="4528"/>
    <x v="1"/>
    <s v="1.2026267051696775"/>
    <s v="results/1/item_solutions/pi-12-1000-1000-001.kna_5000_10_items.csv"/>
    <n v="1.20262670516967"/>
  </r>
  <r>
    <s v="pi-12-1000-1000-001.kna"/>
    <x v="7"/>
    <x v="2"/>
    <n v="4556"/>
    <n v="4528"/>
    <x v="1"/>
    <s v="1.0795416831970217"/>
    <s v="results/1/item_solutions/pi-12-1000-1000-001.kna_5000_15_items.csv"/>
    <n v="1.0795416831970199"/>
  </r>
  <r>
    <s v="pi-12-1000-1000-001.kna"/>
    <x v="7"/>
    <x v="3"/>
    <n v="4556"/>
    <n v="4528"/>
    <x v="1"/>
    <s v="1.3187153339385986"/>
    <s v="results/1/item_solutions/pi-12-1000-1000-001.kna_5000_20_items.csv"/>
    <n v="1.31871533393859"/>
  </r>
  <r>
    <s v="pi-12-1000-1000-001.kna"/>
    <x v="7"/>
    <x v="4"/>
    <n v="4556"/>
    <n v="4497"/>
    <x v="10"/>
    <s v="1.2598962783813477"/>
    <s v="results/1/item_solutions/pi-12-1000-1000-001.kna_5000_5_items.csv"/>
    <n v="1.2598962783813401"/>
  </r>
  <r>
    <s v="pi-12-1000-1000-001.kna"/>
    <x v="8"/>
    <x v="0"/>
    <n v="4556"/>
    <n v="4532"/>
    <x v="2"/>
    <s v="0.11668062210083"/>
    <s v="results/1/item_solutions/pi-12-1000-1000-001.kna_500_1_items.csv"/>
    <n v="0.11668062210082999"/>
  </r>
  <r>
    <s v="pi-12-1000-1000-001.kna"/>
    <x v="8"/>
    <x v="1"/>
    <n v="4556"/>
    <n v="4544"/>
    <x v="6"/>
    <s v="0.1127166748046875"/>
    <s v="results/1/item_solutions/pi-12-1000-1000-001.kna_500_10_items.csv"/>
    <n v="0.112716674804687"/>
  </r>
  <r>
    <s v="pi-12-1000-1000-001.kna"/>
    <x v="8"/>
    <x v="2"/>
    <n v="4556"/>
    <n v="4532"/>
    <x v="2"/>
    <s v="0.1071124076843261"/>
    <s v="results/1/item_solutions/pi-12-1000-1000-001.kna_500_15_items.csv"/>
    <n v="0.10711240768432601"/>
  </r>
  <r>
    <s v="pi-12-1000-1000-001.kna"/>
    <x v="8"/>
    <x v="3"/>
    <n v="4556"/>
    <n v="4528"/>
    <x v="1"/>
    <s v="0.1321973800659179"/>
    <s v="results/1/item_solutions/pi-12-1000-1000-001.kna_500_20_items.csv"/>
    <n v="0.132197380065917"/>
  </r>
  <r>
    <s v="pi-12-1000-1000-001.kna"/>
    <x v="8"/>
    <x v="4"/>
    <n v="4556"/>
    <n v="4528"/>
    <x v="1"/>
    <s v="0.1184883117675781"/>
    <s v="results/1/item_solutions/pi-12-1000-1000-001.kna_500_5_items.csv"/>
    <n v="0.118488311767578"/>
  </r>
  <r>
    <s v="pi-12-1000-1000-001.kna"/>
    <x v="9"/>
    <x v="0"/>
    <n v="4556"/>
    <n v="4532"/>
    <x v="2"/>
    <s v="0.0100011825561523"/>
    <s v="results/1/item_solutions/pi-12-1000-1000-001.kna_50_1_items.csv"/>
    <n v="1.00011825561523E-2"/>
  </r>
  <r>
    <s v="pi-12-1000-1000-001.kna"/>
    <x v="9"/>
    <x v="1"/>
    <n v="4556"/>
    <n v="4528"/>
    <x v="1"/>
    <s v="0.0145032405853271"/>
    <s v="results/1/item_solutions/pi-12-1000-1000-001.kna_50_10_items.csv"/>
    <n v="1.45032405853271E-2"/>
  </r>
  <r>
    <s v="pi-12-1000-1000-001.kna"/>
    <x v="9"/>
    <x v="2"/>
    <n v="4556"/>
    <n v="4528"/>
    <x v="1"/>
    <s v="0.0119996070861816"/>
    <s v="results/1/item_solutions/pi-12-1000-1000-001.kna_50_15_items.csv"/>
    <n v="1.1999607086181601E-2"/>
  </r>
  <r>
    <s v="pi-12-1000-1000-001.kna"/>
    <x v="9"/>
    <x v="3"/>
    <n v="4556"/>
    <n v="4528"/>
    <x v="1"/>
    <s v="0.0169992446899414"/>
    <s v="results/1/item_solutions/pi-12-1000-1000-001.kna_50_20_items.csv"/>
    <n v="1.6999244689941399E-2"/>
  </r>
  <r>
    <s v="pi-12-1000-1000-001.kna"/>
    <x v="9"/>
    <x v="4"/>
    <n v="4556"/>
    <n v="4532"/>
    <x v="2"/>
    <s v="0.0120341777801513"/>
    <s v="results/1/item_solutions/pi-12-1000-1000-001.kna_50_5_items.csv"/>
    <n v="1.20341777801513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0"/>
    <n v="1560"/>
    <s v="32.525567293167114"/>
    <s v="results/3/item_solutions/pi-13-100-1000-001.kna_1000000_1_items.csv"/>
    <n v="32.5255672931671"/>
  </r>
  <r>
    <s v="pi-13-100-1000-001.kna"/>
    <x v="0"/>
    <x v="1"/>
    <n v="970"/>
    <n v="969"/>
    <n v="1989"/>
    <s v="32.90218544006348"/>
    <s v="results/3/item_solutions/pi-13-100-1000-001.kna_1000000_10_items.csv"/>
    <n v="32.902185440063398"/>
  </r>
  <r>
    <s v="pi-13-100-1000-001.kna"/>
    <x v="0"/>
    <x v="2"/>
    <n v="970"/>
    <n v="969"/>
    <n v="1989"/>
    <s v="34.493696451187134"/>
    <s v="results/3/item_solutions/pi-13-100-1000-001.kna_1000000_15_items.csv"/>
    <n v="34.493696451187098"/>
  </r>
  <r>
    <s v="pi-13-100-1000-001.kna"/>
    <x v="0"/>
    <x v="3"/>
    <n v="970"/>
    <n v="969"/>
    <n v="1989"/>
    <s v="33.52549433708191"/>
    <s v="results/3/item_solutions/pi-13-100-1000-001.kna_1000000_20_items.csv"/>
    <n v="33.525494337081902"/>
  </r>
  <r>
    <s v="pi-13-100-1000-001.kna"/>
    <x v="0"/>
    <x v="4"/>
    <n v="970"/>
    <n v="956"/>
    <n v="1716"/>
    <s v="28.66398549079895"/>
    <s v="results/3/item_solutions/pi-13-100-1000-001.kna_1000000_5_items.csv"/>
    <n v="28.6639854907989"/>
  </r>
  <r>
    <s v="pi-13-100-1000-001.kna"/>
    <x v="1"/>
    <x v="0"/>
    <n v="970"/>
    <n v="954"/>
    <n v="1794"/>
    <s v="2.9671339988708496"/>
    <s v="results/3/item_solutions/pi-13-100-1000-001.kna_100000_1_items.csv"/>
    <n v="2.9671339988708398"/>
  </r>
  <r>
    <s v="pi-13-100-1000-001.kna"/>
    <x v="1"/>
    <x v="1"/>
    <n v="970"/>
    <n v="954"/>
    <n v="1794"/>
    <s v="3.2131130695343018"/>
    <s v="results/3/item_solutions/pi-13-100-1000-001.kna_100000_10_items.csv"/>
    <n v="3.2131130695343"/>
  </r>
  <r>
    <s v="pi-13-100-1000-001.kna"/>
    <x v="1"/>
    <x v="2"/>
    <n v="970"/>
    <n v="969"/>
    <n v="1989"/>
    <s v="3.614180326461792"/>
    <s v="results/3/item_solutions/pi-13-100-1000-001.kna_100000_15_items.csv"/>
    <n v="3.6141803264617902"/>
  </r>
  <r>
    <s v="pi-13-100-1000-001.kna"/>
    <x v="1"/>
    <x v="3"/>
    <n v="970"/>
    <n v="969"/>
    <n v="1989"/>
    <s v="3.517341375350952"/>
    <s v="results/3/item_solutions/pi-13-100-1000-001.kna_100000_20_items.csv"/>
    <n v="3.5173413753509499"/>
  </r>
  <r>
    <s v="pi-13-100-1000-001.kna"/>
    <x v="1"/>
    <x v="4"/>
    <n v="970"/>
    <n v="969"/>
    <n v="1989"/>
    <s v="3.6816494464874263"/>
    <s v="results/3/item_solutions/pi-13-100-1000-001.kna_100000_5_items.csv"/>
    <n v="3.6816494464874201"/>
  </r>
  <r>
    <s v="pi-13-100-1000-001.kna"/>
    <x v="2"/>
    <x v="0"/>
    <n v="970"/>
    <n v="969"/>
    <n v="1989"/>
    <s v="0.3237948417663574"/>
    <s v="results/3/item_solutions/pi-13-100-1000-001.kna_10000_1_items.csv"/>
    <n v="0.32379484176635698"/>
  </r>
  <r>
    <s v="pi-13-100-1000-001.kna"/>
    <x v="2"/>
    <x v="1"/>
    <n v="970"/>
    <n v="956"/>
    <n v="1716"/>
    <s v="0.3486459255218506"/>
    <s v="results/3/item_solutions/pi-13-100-1000-001.kna_10000_10_items.csv"/>
    <n v="0.34864592552184998"/>
  </r>
  <r>
    <s v="pi-13-100-1000-001.kna"/>
    <x v="2"/>
    <x v="2"/>
    <n v="970"/>
    <n v="958"/>
    <n v="1638"/>
    <s v="0.3667256832122803"/>
    <s v="results/3/item_solutions/pi-13-100-1000-001.kna_10000_15_items.csv"/>
    <n v="0.36672568321228"/>
  </r>
  <r>
    <s v="pi-13-100-1000-001.kna"/>
    <x v="2"/>
    <x v="3"/>
    <n v="970"/>
    <n v="956"/>
    <n v="1716"/>
    <s v="0.3322145938873291"/>
    <s v="results/3/item_solutions/pi-13-100-1000-001.kna_10000_20_items.csv"/>
    <n v="0.33221459388732899"/>
  </r>
  <r>
    <s v="pi-13-100-1000-001.kna"/>
    <x v="2"/>
    <x v="4"/>
    <n v="970"/>
    <n v="969"/>
    <n v="1989"/>
    <s v="0.3256237506866455"/>
    <s v="results/3/item_solutions/pi-13-100-1000-001.kna_10000_5_items.csv"/>
    <n v="0.32562375068664501"/>
  </r>
  <r>
    <s v="pi-13-100-1000-001.kna"/>
    <x v="3"/>
    <x v="0"/>
    <n v="970"/>
    <n v="969"/>
    <n v="1989"/>
    <s v="0.0319695472717285"/>
    <s v="results/3/item_solutions/pi-13-100-1000-001.kna_1000_1_items.csv"/>
    <n v="3.1969547271728502E-2"/>
  </r>
  <r>
    <s v="pi-13-100-1000-001.kna"/>
    <x v="3"/>
    <x v="1"/>
    <n v="970"/>
    <n v="969"/>
    <n v="1989"/>
    <s v="0.0405163764953613"/>
    <s v="results/3/item_solutions/pi-13-100-1000-001.kna_1000_10_items.csv"/>
    <n v="4.05163764953613E-2"/>
  </r>
  <r>
    <s v="pi-13-100-1000-001.kna"/>
    <x v="3"/>
    <x v="2"/>
    <n v="970"/>
    <n v="969"/>
    <n v="1989"/>
    <s v="0.035041332244873"/>
    <s v="results/3/item_solutions/pi-13-100-1000-001.kna_1000_15_items.csv"/>
    <n v="3.5041332244872998E-2"/>
  </r>
  <r>
    <s v="pi-13-100-1000-001.kna"/>
    <x v="3"/>
    <x v="3"/>
    <n v="970"/>
    <n v="969"/>
    <n v="1989"/>
    <s v="0.0341572761535644"/>
    <s v="results/3/item_solutions/pi-13-100-1000-001.kna_1000_20_items.csv"/>
    <n v="3.4157276153564398E-2"/>
  </r>
  <r>
    <s v="pi-13-100-1000-001.kna"/>
    <x v="3"/>
    <x v="4"/>
    <n v="970"/>
    <n v="969"/>
    <n v="1989"/>
    <s v="0.0320005416870117"/>
    <s v="results/3/item_solutions/pi-13-100-1000-001.kna_1000_5_items.csv"/>
    <n v="3.2000541687011698E-2"/>
  </r>
  <r>
    <s v="pi-13-100-1000-001.kna"/>
    <x v="4"/>
    <x v="0"/>
    <n v="970"/>
    <n v="969"/>
    <n v="1989"/>
    <s v="0.0030357837677001"/>
    <s v="results/3/item_solutions/pi-13-100-1000-001.kna_100_1_items.csv"/>
    <n v="3.0357837677000999E-3"/>
  </r>
  <r>
    <s v="pi-13-100-1000-001.kna"/>
    <x v="4"/>
    <x v="1"/>
    <n v="970"/>
    <n v="969"/>
    <n v="1989"/>
    <s v="0.0030357837677001"/>
    <s v="results/3/item_solutions/pi-13-100-1000-001.kna_100_10_items.csv"/>
    <n v="3.0357837677000999E-3"/>
  </r>
  <r>
    <s v="pi-13-100-1000-001.kna"/>
    <x v="4"/>
    <x v="2"/>
    <n v="970"/>
    <n v="969"/>
    <n v="1989"/>
    <s v="0.003962755203247"/>
    <s v="results/3/item_solutions/pi-13-100-1000-001.kna_100_15_items.csv"/>
    <n v="3.9627552032470001E-3"/>
  </r>
  <r>
    <s v="pi-13-100-1000-001.kna"/>
    <x v="4"/>
    <x v="3"/>
    <n v="970"/>
    <n v="969"/>
    <n v="1989"/>
    <s v="0.0039992332458496"/>
    <s v="results/3/item_solutions/pi-13-100-1000-001.kna_100_20_items.csv"/>
    <n v="3.9992332458495998E-3"/>
  </r>
  <r>
    <s v="pi-13-100-1000-001.kna"/>
    <x v="4"/>
    <x v="4"/>
    <n v="970"/>
    <n v="969"/>
    <n v="1989"/>
    <s v="0.0029983520507812"/>
    <s v="results/3/item_solutions/pi-13-100-1000-001.kna_100_5_items.csv"/>
    <n v="2.9983520507812001E-3"/>
  </r>
  <r>
    <s v="pi-13-100-1000-001.kna"/>
    <x v="5"/>
    <x v="0"/>
    <n v="970"/>
    <n v="969"/>
    <n v="1989"/>
    <s v="18.64244627952576"/>
    <s v="results/3/item_solutions/pi-13-100-1000-001.kna_500000_1_items.csv"/>
    <n v="18.6424462795257"/>
  </r>
  <r>
    <s v="pi-13-100-1000-001.kna"/>
    <x v="5"/>
    <x v="1"/>
    <n v="970"/>
    <n v="969"/>
    <n v="1989"/>
    <s v="17.75822114944458"/>
    <s v="results/3/item_solutions/pi-13-100-1000-001.kna_500000_10_items.csv"/>
    <n v="17.758221149444498"/>
  </r>
  <r>
    <s v="pi-13-100-1000-001.kna"/>
    <x v="5"/>
    <x v="2"/>
    <n v="970"/>
    <n v="969"/>
    <n v="1989"/>
    <s v="22.019073486328125"/>
    <s v="results/3/item_solutions/pi-13-100-1000-001.kna_500000_15_items.csv"/>
    <n v="22.0190734863281"/>
  </r>
  <r>
    <s v="pi-13-100-1000-001.kna"/>
    <x v="5"/>
    <x v="3"/>
    <n v="970"/>
    <n v="969"/>
    <n v="1989"/>
    <s v="23.397507667541504"/>
    <s v="results/3/item_solutions/pi-13-100-1000-001.kna_500000_20_items.csv"/>
    <n v="23.3975076675415"/>
  </r>
  <r>
    <s v="pi-13-100-1000-001.kna"/>
    <x v="5"/>
    <x v="4"/>
    <n v="970"/>
    <n v="960"/>
    <n v="1560"/>
    <s v="15.385166645050049"/>
    <s v="results/3/item_solutions/pi-13-100-1000-001.kna_500000_5_items.csv"/>
    <n v="15.385166645050001"/>
  </r>
  <r>
    <s v="pi-13-100-1000-001.kna"/>
    <x v="6"/>
    <x v="0"/>
    <n v="970"/>
    <n v="956"/>
    <n v="1716"/>
    <s v="1.473513126373291"/>
    <s v="results/3/item_solutions/pi-13-100-1000-001.kna_50000_1_items.csv"/>
    <n v="1.4735131263732899"/>
  </r>
  <r>
    <s v="pi-13-100-1000-001.kna"/>
    <x v="6"/>
    <x v="1"/>
    <n v="970"/>
    <n v="956"/>
    <n v="1716"/>
    <s v="1.6426265239715576"/>
    <s v="results/3/item_solutions/pi-13-100-1000-001.kna_50000_10_items.csv"/>
    <n v="1.6426265239715501"/>
  </r>
  <r>
    <s v="pi-13-100-1000-001.kna"/>
    <x v="6"/>
    <x v="2"/>
    <n v="970"/>
    <n v="969"/>
    <n v="1989"/>
    <s v="1.6228981018066406"/>
    <s v="results/3/item_solutions/pi-13-100-1000-001.kna_50000_15_items.csv"/>
    <n v="1.62289810180664"/>
  </r>
  <r>
    <s v="pi-13-100-1000-001.kna"/>
    <x v="6"/>
    <x v="3"/>
    <n v="970"/>
    <n v="969"/>
    <n v="1989"/>
    <s v="1.7622015476226809"/>
    <s v="results/3/item_solutions/pi-13-100-1000-001.kna_50000_20_items.csv"/>
    <n v="1.76220154762268"/>
  </r>
  <r>
    <s v="pi-13-100-1000-001.kna"/>
    <x v="6"/>
    <x v="4"/>
    <n v="970"/>
    <n v="969"/>
    <n v="1989"/>
    <s v="1.6156044006347656"/>
    <s v="results/3/item_solutions/pi-13-100-1000-001.kna_50000_5_items.csv"/>
    <n v="1.6156044006347601"/>
  </r>
  <r>
    <s v="pi-13-100-1000-001.kna"/>
    <x v="7"/>
    <x v="0"/>
    <n v="970"/>
    <n v="954"/>
    <n v="1794"/>
    <s v="0.1520452499389648"/>
    <s v="results/3/item_solutions/pi-13-100-1000-001.kna_5000_1_items.csv"/>
    <n v="0.15204524993896401"/>
  </r>
  <r>
    <s v="pi-13-100-1000-001.kna"/>
    <x v="7"/>
    <x v="1"/>
    <n v="970"/>
    <n v="956"/>
    <n v="1716"/>
    <s v="0.156991958618164"/>
    <s v="results/3/item_solutions/pi-13-100-1000-001.kna_5000_10_items.csv"/>
    <n v="0.15699195861816401"/>
  </r>
  <r>
    <s v="pi-13-100-1000-001.kna"/>
    <x v="7"/>
    <x v="2"/>
    <n v="970"/>
    <n v="958"/>
    <n v="1638"/>
    <s v="0.166736364364624"/>
    <s v="results/3/item_solutions/pi-13-100-1000-001.kna_5000_15_items.csv"/>
    <n v="0.166736364364624"/>
  </r>
  <r>
    <s v="pi-13-100-1000-001.kna"/>
    <x v="7"/>
    <x v="3"/>
    <n v="970"/>
    <n v="969"/>
    <n v="1989"/>
    <s v="0.1861524581909179"/>
    <s v="results/3/item_solutions/pi-13-100-1000-001.kna_5000_20_items.csv"/>
    <n v="0.186152458190917"/>
  </r>
  <r>
    <s v="pi-13-100-1000-001.kna"/>
    <x v="7"/>
    <x v="4"/>
    <n v="970"/>
    <n v="969"/>
    <n v="1989"/>
    <s v="0.1572208404541015"/>
    <s v="results/3/item_solutions/pi-13-100-1000-001.kna_5000_5_items.csv"/>
    <n v="0.15722084045410101"/>
  </r>
  <r>
    <s v="pi-13-100-1000-001.kna"/>
    <x v="8"/>
    <x v="0"/>
    <n v="970"/>
    <n v="956"/>
    <n v="1716"/>
    <s v="0.0199661254882812"/>
    <s v="results/3/item_solutions/pi-13-100-1000-001.kna_500_1_items.csv"/>
    <n v="1.9966125488281201E-2"/>
  </r>
  <r>
    <s v="pi-13-100-1000-001.kna"/>
    <x v="8"/>
    <x v="1"/>
    <n v="970"/>
    <n v="969"/>
    <n v="1989"/>
    <s v="0.0159835815429687"/>
    <s v="results/3/item_solutions/pi-13-100-1000-001.kna_500_10_items.csv"/>
    <n v="1.5983581542968701E-2"/>
  </r>
  <r>
    <s v="pi-13-100-1000-001.kna"/>
    <x v="8"/>
    <x v="2"/>
    <n v="970"/>
    <n v="958"/>
    <n v="1638"/>
    <s v="0.0150339603424072"/>
    <s v="results/3/item_solutions/pi-13-100-1000-001.kna_500_15_items.csv"/>
    <n v="1.5033960342407201E-2"/>
  </r>
  <r>
    <s v="pi-13-100-1000-001.kna"/>
    <x v="8"/>
    <x v="3"/>
    <n v="970"/>
    <n v="958"/>
    <n v="1638"/>
    <s v="0.0184037685394287"/>
    <s v="results/3/item_solutions/pi-13-100-1000-001.kna_500_20_items.csv"/>
    <n v="1.8403768539428701E-2"/>
  </r>
  <r>
    <s v="pi-13-100-1000-001.kna"/>
    <x v="8"/>
    <x v="4"/>
    <n v="970"/>
    <n v="969"/>
    <n v="1989"/>
    <s v="0.0187957286834716"/>
    <s v="results/3/item_solutions/pi-13-100-1000-001.kna_500_5_items.csv"/>
    <n v="1.87957286834716E-2"/>
  </r>
  <r>
    <s v="pi-13-100-1000-001.kna"/>
    <x v="9"/>
    <x v="0"/>
    <n v="970"/>
    <n v="958"/>
    <n v="1638"/>
    <s v="0.0019991397857666"/>
    <s v="results/3/item_solutions/pi-13-100-1000-001.kna_50_1_items.csv"/>
    <n v="1.9991397857665998E-3"/>
  </r>
  <r>
    <s v="pi-13-100-1000-001.kna"/>
    <x v="9"/>
    <x v="1"/>
    <n v="970"/>
    <n v="969"/>
    <n v="1989"/>
    <s v="0.0020153522491455"/>
    <s v="results/3/item_solutions/pi-13-100-1000-001.kna_50_10_items.csv"/>
    <n v="2.0153522491455E-3"/>
  </r>
  <r>
    <s v="pi-13-100-1000-001.kna"/>
    <x v="9"/>
    <x v="2"/>
    <n v="970"/>
    <n v="958"/>
    <n v="1638"/>
    <s v="0.0020334720611572"/>
    <s v="results/3/item_solutions/pi-13-100-1000-001.kna_50_15_items.csv"/>
    <n v="2.0334720611572001E-3"/>
  </r>
  <r>
    <s v="pi-13-100-1000-001.kna"/>
    <x v="9"/>
    <x v="3"/>
    <n v="970"/>
    <n v="969"/>
    <n v="1989"/>
    <s v="0.0020322799682617"/>
    <s v="results/3/item_solutions/pi-13-100-1000-001.kna_50_20_items.csv"/>
    <n v="2.0322799682617001E-3"/>
  </r>
  <r>
    <s v="pi-13-100-1000-001.kna"/>
    <x v="9"/>
    <x v="4"/>
    <n v="970"/>
    <n v="960"/>
    <n v="1560"/>
    <s v="0.0020039081573486"/>
    <s v="results/3/item_solutions/pi-13-100-1000-001.kna_50_5_items.csv"/>
    <n v="2.0039081573485999E-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4"/>
    <n v="4524"/>
    <s v="213.026136636734"/>
    <s v="results/4/item_solutions/pi-13-1000-1000-001.kna_1000000_1_items.csv"/>
    <n v="213.02613663673401"/>
  </r>
  <r>
    <s v="pi-13-1000-1000-001.kna"/>
    <x v="0"/>
    <x v="1"/>
    <n v="3177"/>
    <n v="3170"/>
    <n v="4290"/>
    <s v="259.6795561313629"/>
    <s v="results/4/item_solutions/pi-13-1000-1000-001.kna_1000000_10_items.csv"/>
    <n v="259.67955613136201"/>
  </r>
  <r>
    <s v="pi-13-1000-1000-001.kna"/>
    <x v="0"/>
    <x v="2"/>
    <n v="3177"/>
    <n v="3162"/>
    <n v="4602"/>
    <s v="260.35935616493225"/>
    <s v="results/4/item_solutions/pi-13-1000-1000-001.kna_1000000_15_items.csv"/>
    <n v="260.35935616493202"/>
  </r>
  <r>
    <s v="pi-13-1000-1000-001.kna"/>
    <x v="0"/>
    <x v="3"/>
    <n v="3177"/>
    <n v="3162"/>
    <n v="4602"/>
    <s v="268.4213345050812"/>
    <s v="results/4/item_solutions/pi-13-1000-1000-001.kna_1000000_20_items.csv"/>
    <n v="268.42133450508101"/>
  </r>
  <r>
    <s v="pi-13-1000-1000-001.kna"/>
    <x v="0"/>
    <x v="4"/>
    <n v="3177"/>
    <n v="3172"/>
    <n v="4212"/>
    <s v="239.14586734771729"/>
    <s v="results/4/item_solutions/pi-13-1000-1000-001.kna_1000000_5_items.csv"/>
    <n v="239.145867347717"/>
  </r>
  <r>
    <s v="pi-13-1000-1000-001.kna"/>
    <x v="1"/>
    <x v="0"/>
    <n v="3177"/>
    <n v="3174"/>
    <n v="4134"/>
    <s v="25.41683888435364"/>
    <s v="results/4/item_solutions/pi-13-1000-1000-001.kna_100000_1_items.csv"/>
    <n v="25.416838884353599"/>
  </r>
  <r>
    <s v="pi-13-1000-1000-001.kna"/>
    <x v="1"/>
    <x v="1"/>
    <n v="3177"/>
    <n v="3173"/>
    <n v="4953"/>
    <s v="25.507731199264526"/>
    <s v="results/4/item_solutions/pi-13-1000-1000-001.kna_100000_10_items.csv"/>
    <n v="25.507731199264501"/>
  </r>
  <r>
    <s v="pi-13-1000-1000-001.kna"/>
    <x v="1"/>
    <x v="2"/>
    <n v="3177"/>
    <n v="3164"/>
    <n v="4524"/>
    <s v="24.171571731567383"/>
    <s v="results/4/item_solutions/pi-13-1000-1000-001.kna_100000_15_items.csv"/>
    <n v="24.171571731567301"/>
  </r>
  <r>
    <s v="pi-13-1000-1000-001.kna"/>
    <x v="1"/>
    <x v="3"/>
    <n v="3177"/>
    <n v="3162"/>
    <n v="4602"/>
    <s v="24.58322811126709"/>
    <s v="results/4/item_solutions/pi-13-1000-1000-001.kna_100000_20_items.csv"/>
    <n v="24.583228111267001"/>
  </r>
  <r>
    <s v="pi-13-1000-1000-001.kna"/>
    <x v="1"/>
    <x v="4"/>
    <n v="3177"/>
    <n v="3160"/>
    <n v="4680"/>
    <s v="29.87107563018799"/>
    <s v="results/4/item_solutions/pi-13-1000-1000-001.kna_100000_5_items.csv"/>
    <n v="29.871075630187899"/>
  </r>
  <r>
    <s v="pi-13-1000-1000-001.kna"/>
    <x v="2"/>
    <x v="0"/>
    <n v="3177"/>
    <n v="3162"/>
    <n v="4602"/>
    <s v="2.506472110748291"/>
    <s v="results/4/item_solutions/pi-13-1000-1000-001.kna_10000_1_items.csv"/>
    <n v="2.5064721107482901"/>
  </r>
  <r>
    <s v="pi-13-1000-1000-001.kna"/>
    <x v="2"/>
    <x v="1"/>
    <n v="3177"/>
    <n v="3168"/>
    <n v="4368"/>
    <s v="2.1455841064453125"/>
    <s v="results/4/item_solutions/pi-13-1000-1000-001.kna_10000_10_items.csv"/>
    <n v="2.1455841064453098"/>
  </r>
  <r>
    <s v="pi-13-1000-1000-001.kna"/>
    <x v="2"/>
    <x v="2"/>
    <n v="3177"/>
    <n v="3164"/>
    <n v="4524"/>
    <s v="2.508488416671753"/>
    <s v="results/4/item_solutions/pi-13-1000-1000-001.kna_10000_15_items.csv"/>
    <n v="2.5084884166717498"/>
  </r>
  <r>
    <s v="pi-13-1000-1000-001.kna"/>
    <x v="2"/>
    <x v="3"/>
    <n v="3177"/>
    <n v="3162"/>
    <n v="4602"/>
    <s v="2.609340190887451"/>
    <s v="results/4/item_solutions/pi-13-1000-1000-001.kna_10000_20_items.csv"/>
    <n v="2.6093401908874498"/>
  </r>
  <r>
    <s v="pi-13-1000-1000-001.kna"/>
    <x v="2"/>
    <x v="4"/>
    <n v="3177"/>
    <n v="3164"/>
    <n v="4524"/>
    <s v="2.311819553375244"/>
    <s v="results/4/item_solutions/pi-13-1000-1000-001.kna_10000_5_items.csv"/>
    <n v="2.3118195533752401"/>
  </r>
  <r>
    <s v="pi-13-1000-1000-001.kna"/>
    <x v="3"/>
    <x v="0"/>
    <n v="3177"/>
    <n v="3169"/>
    <n v="5109"/>
    <s v="0.2347142696380615"/>
    <s v="results/4/item_solutions/pi-13-1000-1000-001.kna_1000_1_items.csv"/>
    <n v="0.234714269638061"/>
  </r>
  <r>
    <s v="pi-13-1000-1000-001.kna"/>
    <x v="3"/>
    <x v="1"/>
    <n v="3177"/>
    <n v="3162"/>
    <n v="4602"/>
    <s v="0.2636470794677734"/>
    <s v="results/4/item_solutions/pi-13-1000-1000-001.kna_1000_10_items.csv"/>
    <n v="0.26364707946777299"/>
  </r>
  <r>
    <s v="pi-13-1000-1000-001.kna"/>
    <x v="3"/>
    <x v="2"/>
    <n v="3177"/>
    <n v="3175"/>
    <n v="4875"/>
    <s v="0.2306275367736816"/>
    <s v="results/4/item_solutions/pi-13-1000-1000-001.kna_1000_15_items.csv"/>
    <n v="0.230627536773681"/>
  </r>
  <r>
    <s v="pi-13-1000-1000-001.kna"/>
    <x v="3"/>
    <x v="3"/>
    <n v="3177"/>
    <n v="3171"/>
    <n v="5031"/>
    <s v="0.2509124279022217"/>
    <s v="results/4/item_solutions/pi-13-1000-1000-001.kna_1000_20_items.csv"/>
    <n v="0.25091242790222101"/>
  </r>
  <r>
    <s v="pi-13-1000-1000-001.kna"/>
    <x v="3"/>
    <x v="4"/>
    <n v="3177"/>
    <n v="3160"/>
    <n v="4680"/>
    <s v="0.2347674369812011"/>
    <s v="results/4/item_solutions/pi-13-1000-1000-001.kna_1000_5_items.csv"/>
    <n v="0.23476743698120101"/>
  </r>
  <r>
    <s v="pi-13-1000-1000-001.kna"/>
    <x v="4"/>
    <x v="0"/>
    <n v="3177"/>
    <n v="3175"/>
    <n v="4875"/>
    <s v="0.0279996395111084"/>
    <s v="results/4/item_solutions/pi-13-1000-1000-001.kna_100_1_items.csv"/>
    <n v="2.7999639511108398E-2"/>
  </r>
  <r>
    <s v="pi-13-1000-1000-001.kna"/>
    <x v="4"/>
    <x v="1"/>
    <n v="3177"/>
    <n v="3162"/>
    <n v="4602"/>
    <s v="0.0239753723144531"/>
    <s v="results/4/item_solutions/pi-13-1000-1000-001.kna_100_10_items.csv"/>
    <n v="2.3975372314453101E-2"/>
  </r>
  <r>
    <s v="pi-13-1000-1000-001.kna"/>
    <x v="4"/>
    <x v="2"/>
    <n v="3177"/>
    <n v="3171"/>
    <n v="5031"/>
    <s v="0.0299999713897705"/>
    <s v="results/4/item_solutions/pi-13-1000-1000-001.kna_100_15_items.csv"/>
    <n v="2.9999971389770501E-2"/>
  </r>
  <r>
    <s v="pi-13-1000-1000-001.kna"/>
    <x v="4"/>
    <x v="3"/>
    <n v="3177"/>
    <n v="3171"/>
    <n v="5031"/>
    <s v="0.0240423679351806"/>
    <s v="results/4/item_solutions/pi-13-1000-1000-001.kna_100_20_items.csv"/>
    <n v="2.4042367935180602E-2"/>
  </r>
  <r>
    <s v="pi-13-1000-1000-001.kna"/>
    <x v="4"/>
    <x v="4"/>
    <n v="3177"/>
    <n v="3169"/>
    <n v="5109"/>
    <s v="0.0290296077728271"/>
    <s v="results/4/item_solutions/pi-13-1000-1000-001.kna_100_5_items.csv"/>
    <n v="2.90296077728271E-2"/>
  </r>
  <r>
    <s v="pi-13-1000-1000-001.kna"/>
    <x v="5"/>
    <x v="0"/>
    <n v="3177"/>
    <n v="3177"/>
    <n v="4797"/>
    <s v="99.01526808738708"/>
    <s v="results/4/item_solutions/pi-13-1000-1000-001.kna_500000_1_items.csv"/>
    <n v="99.015268087387"/>
  </r>
  <r>
    <s v="pi-13-1000-1000-001.kna"/>
    <x v="5"/>
    <x v="1"/>
    <n v="3177"/>
    <n v="3162"/>
    <n v="4602"/>
    <s v="143.12851238250732"/>
    <s v="results/4/item_solutions/pi-13-1000-1000-001.kna_500000_10_items.csv"/>
    <n v="143.12851238250701"/>
  </r>
  <r>
    <s v="pi-13-1000-1000-001.kna"/>
    <x v="5"/>
    <x v="2"/>
    <n v="3177"/>
    <n v="3174"/>
    <n v="4134"/>
    <s v="151.14641952514648"/>
    <s v="results/4/item_solutions/pi-13-1000-1000-001.kna_500000_15_items.csv"/>
    <n v="151.146419525146"/>
  </r>
  <r>
    <s v="pi-13-1000-1000-001.kna"/>
    <x v="5"/>
    <x v="3"/>
    <n v="3177"/>
    <n v="3162"/>
    <n v="4602"/>
    <s v="125.42586922645567"/>
    <s v="results/4/item_solutions/pi-13-1000-1000-001.kna_500000_20_items.csv"/>
    <n v="125.42586922645501"/>
  </r>
  <r>
    <s v="pi-13-1000-1000-001.kna"/>
    <x v="5"/>
    <x v="4"/>
    <n v="3177"/>
    <n v="3162"/>
    <n v="4602"/>
    <s v="133.3496572971344"/>
    <s v="results/4/item_solutions/pi-13-1000-1000-001.kna_500000_5_items.csv"/>
    <n v="133.349657297134"/>
  </r>
  <r>
    <s v="pi-13-1000-1000-001.kna"/>
    <x v="6"/>
    <x v="0"/>
    <n v="3177"/>
    <n v="3170"/>
    <n v="4290"/>
    <s v="11.113141298294067"/>
    <s v="results/4/item_solutions/pi-13-1000-1000-001.kna_50000_1_items.csv"/>
    <n v="11.113141298294"/>
  </r>
  <r>
    <s v="pi-13-1000-1000-001.kna"/>
    <x v="6"/>
    <x v="1"/>
    <n v="3177"/>
    <n v="3171"/>
    <n v="5031"/>
    <s v="11.99353551864624"/>
    <s v="results/4/item_solutions/pi-13-1000-1000-001.kna_50000_10_items.csv"/>
    <n v="11.993535518646199"/>
  </r>
  <r>
    <s v="pi-13-1000-1000-001.kna"/>
    <x v="6"/>
    <x v="2"/>
    <n v="3177"/>
    <n v="3168"/>
    <n v="4368"/>
    <s v="15.071959257125854"/>
    <s v="results/4/item_solutions/pi-13-1000-1000-001.kna_50000_15_items.csv"/>
    <n v="15.071959257125799"/>
  </r>
  <r>
    <s v="pi-13-1000-1000-001.kna"/>
    <x v="6"/>
    <x v="3"/>
    <n v="3177"/>
    <n v="3162"/>
    <n v="4602"/>
    <s v="13.135695457458496"/>
    <s v="results/4/item_solutions/pi-13-1000-1000-001.kna_50000_20_items.csv"/>
    <n v="13.1356954574584"/>
  </r>
  <r>
    <s v="pi-13-1000-1000-001.kna"/>
    <x v="6"/>
    <x v="4"/>
    <n v="3177"/>
    <n v="3166"/>
    <n v="4446"/>
    <s v="11.11534833908081"/>
    <s v="results/4/item_solutions/pi-13-1000-1000-001.kna_50000_5_items.csv"/>
    <n v="11.1153483390808"/>
  </r>
  <r>
    <s v="pi-13-1000-1000-001.kna"/>
    <x v="7"/>
    <x v="0"/>
    <n v="3177"/>
    <n v="3177"/>
    <n v="4797"/>
    <s v="1.2119309902191162"/>
    <s v="results/4/item_solutions/pi-13-1000-1000-001.kna_5000_1_items.csv"/>
    <n v="1.21193099021911"/>
  </r>
  <r>
    <s v="pi-13-1000-1000-001.kna"/>
    <x v="7"/>
    <x v="1"/>
    <n v="3177"/>
    <n v="3173"/>
    <n v="4953"/>
    <s v="1.4484531879425049"/>
    <s v="results/4/item_solutions/pi-13-1000-1000-001.kna_5000_10_items.csv"/>
    <n v="1.4484531879425"/>
  </r>
  <r>
    <s v="pi-13-1000-1000-001.kna"/>
    <x v="7"/>
    <x v="2"/>
    <n v="3177"/>
    <n v="3160"/>
    <n v="4680"/>
    <s v="1.2206552028656006"/>
    <s v="results/4/item_solutions/pi-13-1000-1000-001.kna_5000_15_items.csv"/>
    <n v="1.2206552028655999"/>
  </r>
  <r>
    <s v="pi-13-1000-1000-001.kna"/>
    <x v="7"/>
    <x v="3"/>
    <n v="3177"/>
    <n v="3177"/>
    <n v="4797"/>
    <s v="1.21797513961792"/>
    <s v="results/4/item_solutions/pi-13-1000-1000-001.kna_5000_20_items.csv"/>
    <n v="1.2179751396179199"/>
  </r>
  <r>
    <s v="pi-13-1000-1000-001.kna"/>
    <x v="7"/>
    <x v="4"/>
    <n v="3177"/>
    <n v="3177"/>
    <n v="4797"/>
    <s v="1.3949222564697266"/>
    <s v="results/4/item_solutions/pi-13-1000-1000-001.kna_5000_5_items.csv"/>
    <n v="1.3949222564697199"/>
  </r>
  <r>
    <s v="pi-13-1000-1000-001.kna"/>
    <x v="8"/>
    <x v="0"/>
    <n v="3177"/>
    <n v="3160"/>
    <n v="4680"/>
    <s v="0.1075139045715332"/>
    <s v="results/4/item_solutions/pi-13-1000-1000-001.kna_500_1_items.csv"/>
    <n v="0.10751390457153299"/>
  </r>
  <r>
    <s v="pi-13-1000-1000-001.kna"/>
    <x v="8"/>
    <x v="1"/>
    <n v="3177"/>
    <n v="3175"/>
    <n v="4875"/>
    <s v="0.121551513671875"/>
    <s v="results/4/item_solutions/pi-13-1000-1000-001.kna_500_10_items.csv"/>
    <n v="0.121551513671875"/>
  </r>
  <r>
    <s v="pi-13-1000-1000-001.kna"/>
    <x v="8"/>
    <x v="2"/>
    <n v="3177"/>
    <n v="3173"/>
    <n v="4953"/>
    <s v="0.1361401081085205"/>
    <s v="results/4/item_solutions/pi-13-1000-1000-001.kna_500_15_items.csv"/>
    <n v="0.13614010810852001"/>
  </r>
  <r>
    <s v="pi-13-1000-1000-001.kna"/>
    <x v="8"/>
    <x v="3"/>
    <n v="3177"/>
    <n v="3171"/>
    <n v="5031"/>
    <s v="0.1275420188903808"/>
    <s v="results/4/item_solutions/pi-13-1000-1000-001.kna_500_20_items.csv"/>
    <n v="0.12754201889038"/>
  </r>
  <r>
    <s v="pi-13-1000-1000-001.kna"/>
    <x v="8"/>
    <x v="4"/>
    <n v="3177"/>
    <n v="3171"/>
    <n v="5031"/>
    <s v="0.1210343837738037"/>
    <s v="results/4/item_solutions/pi-13-1000-1000-001.kna_500_5_items.csv"/>
    <n v="0.121034383773803"/>
  </r>
  <r>
    <s v="pi-13-1000-1000-001.kna"/>
    <x v="9"/>
    <x v="0"/>
    <n v="3177"/>
    <n v="3177"/>
    <n v="4797"/>
    <s v="0.011998176574707"/>
    <s v="results/4/item_solutions/pi-13-1000-1000-001.kna_50_1_items.csv"/>
    <n v="1.1998176574707E-2"/>
  </r>
  <r>
    <s v="pi-13-1000-1000-001.kna"/>
    <x v="9"/>
    <x v="1"/>
    <n v="3177"/>
    <n v="3173"/>
    <n v="4953"/>
    <s v="0.0150332450866699"/>
    <s v="results/4/item_solutions/pi-13-1000-1000-001.kna_50_10_items.csv"/>
    <n v="1.5033245086669899E-2"/>
  </r>
  <r>
    <s v="pi-13-1000-1000-001.kna"/>
    <x v="9"/>
    <x v="2"/>
    <n v="3177"/>
    <n v="3169"/>
    <n v="5109"/>
    <s v="0.0170750617980957"/>
    <s v="results/4/item_solutions/pi-13-1000-1000-001.kna_50_15_items.csv"/>
    <n v="1.70750617980957E-2"/>
  </r>
  <r>
    <s v="pi-13-1000-1000-001.kna"/>
    <x v="9"/>
    <x v="3"/>
    <n v="3177"/>
    <n v="3175"/>
    <n v="4875"/>
    <s v="0.0139977931976318"/>
    <s v="results/4/item_solutions/pi-13-1000-1000-001.kna_50_20_items.csv"/>
    <n v="1.39977931976318E-2"/>
  </r>
  <r>
    <s v="pi-13-1000-1000-001.kna"/>
    <x v="9"/>
    <x v="4"/>
    <n v="3177"/>
    <n v="3175"/>
    <n v="4875"/>
    <s v="0.0130348205566406"/>
    <s v="results/4/item_solutions/pi-13-1000-1000-001.kna_50_5_items.csv"/>
    <n v="1.3034820556640601E-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7"/>
    <n v="1002"/>
    <s v="19.119575262069706"/>
    <s v="results/6/item_solutions/pi-15-100-1000-001.kna_1000000_1_items.csv"/>
    <n v="19.119575262069699"/>
  </r>
  <r>
    <s v="pi-15-100-1000-001.kna"/>
    <x v="0"/>
    <x v="1"/>
    <n v="997"/>
    <n v="996"/>
    <n v="1002"/>
    <s v="0.0009691715240478"/>
    <s v="results/6/item_solutions/pi-15-100-1000-001.kna_1000000_10_items.csv"/>
    <n v="9.6917152404779995E-4"/>
  </r>
  <r>
    <s v="pi-15-100-1000-001.kna"/>
    <x v="0"/>
    <x v="2"/>
    <n v="997"/>
    <n v="997"/>
    <n v="1005"/>
    <s v="0.0019989013671875"/>
    <s v="results/6/item_solutions/pi-15-100-1000-001.kna_1000000_15_items.csv"/>
    <n v="1.9989013671875E-3"/>
  </r>
  <r>
    <s v="pi-15-100-1000-001.kna"/>
    <x v="0"/>
    <x v="3"/>
    <n v="997"/>
    <n v="997"/>
    <n v="999"/>
    <s v="0.0010018348693847"/>
    <s v="results/6/item_solutions/pi-15-100-1000-001.kna_1000000_20_items.csv"/>
    <n v="1.0018348693846999E-3"/>
  </r>
  <r>
    <s v="pi-15-100-1000-001.kna"/>
    <x v="0"/>
    <x v="4"/>
    <n v="997"/>
    <n v="997"/>
    <n v="1002"/>
    <s v="23.432671546936035"/>
    <s v="results/6/item_solutions/pi-15-100-1000-001.kna_1000000_5_items.csv"/>
    <n v="23.432671546936"/>
  </r>
  <r>
    <s v="pi-15-100-1000-001.kna"/>
    <x v="1"/>
    <x v="0"/>
    <n v="997"/>
    <n v="997"/>
    <n v="1002"/>
    <s v="1.9012548923492432"/>
    <s v="results/6/item_solutions/pi-15-100-1000-001.kna_100000_1_items.csv"/>
    <n v="1.9012548923492401"/>
  </r>
  <r>
    <s v="pi-15-100-1000-001.kna"/>
    <x v="1"/>
    <x v="1"/>
    <n v="997"/>
    <n v="997"/>
    <n v="1002"/>
    <s v="0.0010004043579101"/>
    <s v="results/6/item_solutions/pi-15-100-1000-001.kna_100000_10_items.csv"/>
    <n v="1.0004043579101001E-3"/>
  </r>
  <r>
    <s v="pi-15-100-1000-001.kna"/>
    <x v="1"/>
    <x v="2"/>
    <n v="997"/>
    <n v="997"/>
    <n v="1002"/>
    <s v="2.513124704360962"/>
    <s v="results/6/item_solutions/pi-15-100-1000-001.kna_100000_15_items.csv"/>
    <n v="2.5131247043609601"/>
  </r>
  <r>
    <s v="pi-15-100-1000-001.kna"/>
    <x v="1"/>
    <x v="3"/>
    <n v="997"/>
    <n v="996"/>
    <n v="1005"/>
    <s v="2.3696627616882324"/>
    <s v="results/6/item_solutions/pi-15-100-1000-001.kna_100000_20_items.csv"/>
    <n v="2.3696627616882302"/>
  </r>
  <r>
    <s v="pi-15-100-1000-001.kna"/>
    <x v="1"/>
    <x v="4"/>
    <n v="997"/>
    <n v="993"/>
    <n v="999"/>
    <s v="2.176194429397583"/>
    <s v="results/6/item_solutions/pi-15-100-1000-001.kna_100000_5_items.csv"/>
    <n v="2.1761944293975799"/>
  </r>
  <r>
    <s v="pi-15-100-1000-001.kna"/>
    <x v="2"/>
    <x v="0"/>
    <n v="997"/>
    <n v="995"/>
    <n v="999"/>
    <s v="0.20918869972229"/>
    <s v="results/6/item_solutions/pi-15-100-1000-001.kna_10000_1_items.csv"/>
    <n v="0.20918869972229001"/>
  </r>
  <r>
    <s v="pi-15-100-1000-001.kna"/>
    <x v="2"/>
    <x v="1"/>
    <n v="997"/>
    <n v="997"/>
    <n v="1002"/>
    <s v="0.2362246513366699"/>
    <s v="results/6/item_solutions/pi-15-100-1000-001.kna_10000_10_items.csv"/>
    <n v="0.23622465133666901"/>
  </r>
  <r>
    <s v="pi-15-100-1000-001.kna"/>
    <x v="2"/>
    <x v="2"/>
    <n v="997"/>
    <n v="997"/>
    <n v="1002"/>
    <s v="0.0009679794311523"/>
    <s v="results/6/item_solutions/pi-15-100-1000-001.kna_10000_15_items.csv"/>
    <n v="9.6797943115229995E-4"/>
  </r>
  <r>
    <s v="pi-15-100-1000-001.kna"/>
    <x v="2"/>
    <x v="3"/>
    <n v="997"/>
    <n v="996"/>
    <n v="1002"/>
    <s v="0.0009963512420654"/>
    <s v="results/6/item_solutions/pi-15-100-1000-001.kna_10000_20_items.csv"/>
    <n v="9.9635124206539998E-4"/>
  </r>
  <r>
    <s v="pi-15-100-1000-001.kna"/>
    <x v="2"/>
    <x v="4"/>
    <n v="997"/>
    <n v="997"/>
    <n v="1002"/>
    <s v="0.2845633029937744"/>
    <s v="results/6/item_solutions/pi-15-100-1000-001.kna_10000_5_items.csv"/>
    <n v="0.28456330299377403"/>
  </r>
  <r>
    <s v="pi-15-100-1000-001.kna"/>
    <x v="3"/>
    <x v="0"/>
    <n v="997"/>
    <n v="997"/>
    <n v="1008"/>
    <s v="0.0230319499969482"/>
    <s v="results/6/item_solutions/pi-15-100-1000-001.kna_1000_1_items.csv"/>
    <n v="2.3031949996948201E-2"/>
  </r>
  <r>
    <s v="pi-15-100-1000-001.kna"/>
    <x v="3"/>
    <x v="1"/>
    <n v="997"/>
    <n v="997"/>
    <n v="1002"/>
    <s v="0.0239992141723632"/>
    <s v="results/6/item_solutions/pi-15-100-1000-001.kna_1000_10_items.csv"/>
    <n v="2.3999214172363201E-2"/>
  </r>
  <r>
    <s v="pi-15-100-1000-001.kna"/>
    <x v="3"/>
    <x v="2"/>
    <n v="997"/>
    <n v="997"/>
    <n v="1002"/>
    <s v="0.0010032653808593"/>
    <s v="results/6/item_solutions/pi-15-100-1000-001.kna_1000_15_items.csv"/>
    <n v="1.0032653808593E-3"/>
  </r>
  <r>
    <s v="pi-15-100-1000-001.kna"/>
    <x v="3"/>
    <x v="3"/>
    <n v="997"/>
    <n v="997"/>
    <n v="1002"/>
    <s v="0.0"/>
    <s v="results/6/item_solutions/pi-15-100-1000-001.kna_1000_20_items.csv"/>
    <n v="0"/>
  </r>
  <r>
    <s v="pi-15-100-1000-001.kna"/>
    <x v="3"/>
    <x v="4"/>
    <n v="997"/>
    <n v="995"/>
    <n v="1002"/>
    <s v="0.0231609344482421"/>
    <s v="results/6/item_solutions/pi-15-100-1000-001.kna_1000_5_items.csv"/>
    <n v="2.3160934448242101E-2"/>
  </r>
  <r>
    <s v="pi-15-100-1000-001.kna"/>
    <x v="4"/>
    <x v="0"/>
    <n v="997"/>
    <n v="995"/>
    <n v="1002"/>
    <s v="0.0030345916748046"/>
    <s v="results/6/item_solutions/pi-15-100-1000-001.kna_100_1_items.csv"/>
    <n v="3.0345916748045999E-3"/>
  </r>
  <r>
    <s v="pi-15-100-1000-001.kna"/>
    <x v="4"/>
    <x v="1"/>
    <n v="997"/>
    <n v="997"/>
    <n v="1002"/>
    <s v="0.0019981861114501"/>
    <s v="results/6/item_solutions/pi-15-100-1000-001.kna_100_10_items.csv"/>
    <n v="1.9981861114500999E-3"/>
  </r>
  <r>
    <s v="pi-15-100-1000-001.kna"/>
    <x v="4"/>
    <x v="2"/>
    <n v="997"/>
    <n v="996"/>
    <n v="1002"/>
    <s v="0.0040004253387451"/>
    <s v="results/6/item_solutions/pi-15-100-1000-001.kna_100_15_items.csv"/>
    <n v="4.0004253387450998E-3"/>
  </r>
  <r>
    <s v="pi-15-100-1000-001.kna"/>
    <x v="4"/>
    <x v="3"/>
    <n v="997"/>
    <n v="997"/>
    <n v="1002"/>
    <s v="0.0010011196136474"/>
    <s v="results/6/item_solutions/pi-15-100-1000-001.kna_100_20_items.csv"/>
    <n v="1.0011196136474E-3"/>
  </r>
  <r>
    <s v="pi-15-100-1000-001.kna"/>
    <x v="4"/>
    <x v="4"/>
    <n v="997"/>
    <n v="997"/>
    <n v="1005"/>
    <s v="0.0030016899108886"/>
    <s v="results/6/item_solutions/pi-15-100-1000-001.kna_100_5_items.csv"/>
    <n v="3.0016899108885999E-3"/>
  </r>
  <r>
    <s v="pi-15-100-1000-001.kna"/>
    <x v="5"/>
    <x v="0"/>
    <n v="997"/>
    <n v="997"/>
    <n v="1002"/>
    <s v="12.26422953605652"/>
    <s v="results/6/item_solutions/pi-15-100-1000-001.kna_500000_1_items.csv"/>
    <n v="12.264229536056501"/>
  </r>
  <r>
    <s v="pi-15-100-1000-001.kna"/>
    <x v="5"/>
    <x v="1"/>
    <n v="997"/>
    <n v="997"/>
    <n v="1005"/>
    <s v="12.32103395462036"/>
    <s v="results/6/item_solutions/pi-15-100-1000-001.kna_500000_10_items.csv"/>
    <n v="12.321033954620299"/>
  </r>
  <r>
    <s v="pi-15-100-1000-001.kna"/>
    <x v="5"/>
    <x v="2"/>
    <n v="997"/>
    <n v="996"/>
    <n v="999"/>
    <s v="0.0009729862213134"/>
    <s v="results/6/item_solutions/pi-15-100-1000-001.kna_500000_15_items.csv"/>
    <n v="9.7298622131340002E-4"/>
  </r>
  <r>
    <s v="pi-15-100-1000-001.kna"/>
    <x v="5"/>
    <x v="3"/>
    <n v="997"/>
    <n v="997"/>
    <n v="1002"/>
    <s v="0.0020327568054199"/>
    <s v="results/6/item_solutions/pi-15-100-1000-001.kna_500000_20_items.csv"/>
    <n v="2.0327568054199002E-3"/>
  </r>
  <r>
    <s v="pi-15-100-1000-001.kna"/>
    <x v="5"/>
    <x v="4"/>
    <n v="997"/>
    <n v="996"/>
    <n v="1002"/>
    <s v="12.38166856765747"/>
    <s v="results/6/item_solutions/pi-15-100-1000-001.kna_500000_5_items.csv"/>
    <n v="12.3816685676574"/>
  </r>
  <r>
    <s v="pi-15-100-1000-001.kna"/>
    <x v="6"/>
    <x v="0"/>
    <n v="997"/>
    <n v="996"/>
    <n v="1002"/>
    <s v="0.9910316467285156"/>
    <s v="results/6/item_solutions/pi-15-100-1000-001.kna_50000_1_items.csv"/>
    <n v="0.99103164672851496"/>
  </r>
  <r>
    <s v="pi-15-100-1000-001.kna"/>
    <x v="6"/>
    <x v="1"/>
    <n v="997"/>
    <n v="997"/>
    <n v="1002"/>
    <s v="1.3269388675689695"/>
    <s v="results/6/item_solutions/pi-15-100-1000-001.kna_50000_10_items.csv"/>
    <n v="1.32693886756896"/>
  </r>
  <r>
    <s v="pi-15-100-1000-001.kna"/>
    <x v="6"/>
    <x v="2"/>
    <n v="997"/>
    <n v="997"/>
    <n v="999"/>
    <s v="0.0"/>
    <s v="results/6/item_solutions/pi-15-100-1000-001.kna_50000_15_items.csv"/>
    <n v="0"/>
  </r>
  <r>
    <s v="pi-15-100-1000-001.kna"/>
    <x v="6"/>
    <x v="3"/>
    <n v="997"/>
    <n v="994"/>
    <n v="1002"/>
    <s v="0.0010085105895996"/>
    <s v="results/6/item_solutions/pi-15-100-1000-001.kna_50000_20_items.csv"/>
    <n v="1.0085105895996001E-3"/>
  </r>
  <r>
    <s v="pi-15-100-1000-001.kna"/>
    <x v="6"/>
    <x v="4"/>
    <n v="997"/>
    <n v="996"/>
    <n v="1002"/>
    <s v="1.4089365005493164"/>
    <s v="results/6/item_solutions/pi-15-100-1000-001.kna_50000_5_items.csv"/>
    <n v="1.40893650054931"/>
  </r>
  <r>
    <s v="pi-15-100-1000-001.kna"/>
    <x v="7"/>
    <x v="0"/>
    <n v="997"/>
    <n v="997"/>
    <n v="1002"/>
    <s v="0.1065914630889892"/>
    <s v="results/6/item_solutions/pi-15-100-1000-001.kna_5000_1_items.csv"/>
    <n v="0.10659146308898899"/>
  </r>
  <r>
    <s v="pi-15-100-1000-001.kna"/>
    <x v="7"/>
    <x v="1"/>
    <n v="997"/>
    <n v="997"/>
    <n v="1002"/>
    <s v="0.0009591579437255"/>
    <s v="results/6/item_solutions/pi-15-100-1000-001.kna_5000_10_items.csv"/>
    <n v="9.5915794372549996E-4"/>
  </r>
  <r>
    <s v="pi-15-100-1000-001.kna"/>
    <x v="7"/>
    <x v="2"/>
    <n v="997"/>
    <n v="997"/>
    <n v="1002"/>
    <s v="0.0009996891021728"/>
    <s v="results/6/item_solutions/pi-15-100-1000-001.kna_5000_15_items.csv"/>
    <n v="9.9968910217279995E-4"/>
  </r>
  <r>
    <s v="pi-15-100-1000-001.kna"/>
    <x v="7"/>
    <x v="3"/>
    <n v="997"/>
    <n v="997"/>
    <n v="1002"/>
    <s v="0.0009646415710449"/>
    <s v="results/6/item_solutions/pi-15-100-1000-001.kna_5000_20_items.csv"/>
    <n v="9.6464157104489997E-4"/>
  </r>
  <r>
    <s v="pi-15-100-1000-001.kna"/>
    <x v="7"/>
    <x v="4"/>
    <n v="997"/>
    <n v="995"/>
    <n v="1002"/>
    <s v="0.1102602481842041"/>
    <s v="results/6/item_solutions/pi-15-100-1000-001.kna_5000_5_items.csv"/>
    <n v="0.110260248184204"/>
  </r>
  <r>
    <s v="pi-15-100-1000-001.kna"/>
    <x v="8"/>
    <x v="0"/>
    <n v="997"/>
    <n v="997"/>
    <n v="1002"/>
    <s v="0.0101048946380615"/>
    <s v="results/6/item_solutions/pi-15-100-1000-001.kna_500_1_items.csv"/>
    <n v="1.0104894638061499E-2"/>
  </r>
  <r>
    <s v="pi-15-100-1000-001.kna"/>
    <x v="8"/>
    <x v="1"/>
    <n v="997"/>
    <n v="996"/>
    <n v="1005"/>
    <s v="0.0121428966522216"/>
    <s v="results/6/item_solutions/pi-15-100-1000-001.kna_500_10_items.csv"/>
    <n v="1.21428966522216E-2"/>
  </r>
  <r>
    <s v="pi-15-100-1000-001.kna"/>
    <x v="8"/>
    <x v="2"/>
    <n v="997"/>
    <n v="995"/>
    <n v="1002"/>
    <s v="0.0009963512420654"/>
    <s v="results/6/item_solutions/pi-15-100-1000-001.kna_500_15_items.csv"/>
    <n v="9.9635124206539998E-4"/>
  </r>
  <r>
    <s v="pi-15-100-1000-001.kna"/>
    <x v="8"/>
    <x v="3"/>
    <n v="997"/>
    <n v="997"/>
    <n v="1005"/>
    <s v="0.0010371208190917"/>
    <s v="results/6/item_solutions/pi-15-100-1000-001.kna_500_20_items.csv"/>
    <n v="1.0371208190916999E-3"/>
  </r>
  <r>
    <s v="pi-15-100-1000-001.kna"/>
    <x v="8"/>
    <x v="4"/>
    <n v="997"/>
    <n v="996"/>
    <n v="1005"/>
    <s v="0.0110344886779785"/>
    <s v="results/6/item_solutions/pi-15-100-1000-001.kna_500_5_items.csv"/>
    <n v="1.10344886779785E-2"/>
  </r>
  <r>
    <s v="pi-15-100-1000-001.kna"/>
    <x v="9"/>
    <x v="0"/>
    <n v="997"/>
    <n v="995"/>
    <n v="999"/>
    <s v="0.0020036697387695"/>
    <s v="results/6/item_solutions/pi-15-100-1000-001.kna_50_1_items.csv"/>
    <n v="2.0036697387695E-3"/>
  </r>
  <r>
    <s v="pi-15-100-1000-001.kna"/>
    <x v="9"/>
    <x v="1"/>
    <n v="997"/>
    <n v="996"/>
    <n v="1002"/>
    <s v="0.0009996891021728"/>
    <s v="results/6/item_solutions/pi-15-100-1000-001.kna_50_10_items.csv"/>
    <n v="9.9968910217279995E-4"/>
  </r>
  <r>
    <s v="pi-15-100-1000-001.kna"/>
    <x v="9"/>
    <x v="2"/>
    <n v="997"/>
    <n v="997"/>
    <n v="1002"/>
    <s v="0.0009996891021728"/>
    <s v="results/6/item_solutions/pi-15-100-1000-001.kna_50_15_items.csv"/>
    <n v="9.9968910217279995E-4"/>
  </r>
  <r>
    <s v="pi-15-100-1000-001.kna"/>
    <x v="9"/>
    <x v="3"/>
    <n v="997"/>
    <n v="997"/>
    <n v="1005"/>
    <s v="0.0019998550415039"/>
    <s v="results/6/item_solutions/pi-15-100-1000-001.kna_50_20_items.csv"/>
    <n v="1.9998550415039002E-3"/>
  </r>
  <r>
    <s v="pi-15-100-1000-001.kna"/>
    <x v="9"/>
    <x v="4"/>
    <n v="997"/>
    <n v="997"/>
    <n v="1002"/>
    <s v="0.0009932518005371"/>
    <s v="results/6/item_solutions/pi-15-100-1000-001.kna_50_5_items.csv"/>
    <n v="9.9325180053710005E-4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-1000-001.kna"/>
    <x v="0"/>
    <x v="0"/>
    <n v="4816"/>
    <n v="4816"/>
    <n v="4833"/>
    <s v="227.7282886505127"/>
    <s v="results/7/item_solutions/pi-15-1000-1000-001.kna_1000000_1_items.csv"/>
    <n v="227.72828865051201"/>
  </r>
  <r>
    <s v="pi-15-1000-1000-001.kna"/>
    <x v="0"/>
    <x v="1"/>
    <n v="4816"/>
    <n v="4815"/>
    <n v="4824"/>
    <s v="341.4854979515076"/>
    <s v="results/7/item_solutions/pi-15-1000-1000-001.kna_1000000_10_items.csv"/>
    <n v="341.485497951507"/>
  </r>
  <r>
    <s v="pi-15-1000-1000-001.kna"/>
    <x v="0"/>
    <x v="2"/>
    <n v="4816"/>
    <n v="4816"/>
    <n v="4833"/>
    <s v="263.7018060684204"/>
    <s v="results/7/item_solutions/pi-15-1000-1000-001.kna_1000000_15_items.csv"/>
    <n v="263.70180606842001"/>
  </r>
  <r>
    <s v="pi-15-1000-1000-001.kna"/>
    <x v="0"/>
    <x v="3"/>
    <n v="4816"/>
    <n v="4816"/>
    <n v="4830"/>
    <s v="294.6463952064514"/>
    <s v="results/7/item_solutions/pi-15-1000-1000-001.kna_1000000_20_items.csv"/>
    <n v="294.64639520645102"/>
  </r>
  <r>
    <s v="pi-15-1000-1000-001.kna"/>
    <x v="0"/>
    <x v="4"/>
    <n v="4816"/>
    <n v="4816"/>
    <n v="4827"/>
    <s v="244.3339388370514"/>
    <s v="results/7/item_solutions/pi-15-1000-1000-001.kna_1000000_5_items.csv"/>
    <n v="244.33393883705099"/>
  </r>
  <r>
    <s v="pi-15-1000-1000-001.kna"/>
    <x v="1"/>
    <x v="0"/>
    <n v="4816"/>
    <n v="4816"/>
    <n v="4830"/>
    <s v="20.38657593727112"/>
    <s v="results/7/item_solutions/pi-15-1000-1000-001.kna_100000_1_items.csv"/>
    <n v="20.3865759372711"/>
  </r>
  <r>
    <s v="pi-15-1000-1000-001.kna"/>
    <x v="1"/>
    <x v="1"/>
    <n v="4816"/>
    <n v="4816"/>
    <n v="4833"/>
    <s v="25.40337872505188"/>
    <s v="results/7/item_solutions/pi-15-1000-1000-001.kna_100000_10_items.csv"/>
    <n v="25.403378725051802"/>
  </r>
  <r>
    <s v="pi-15-1000-1000-001.kna"/>
    <x v="1"/>
    <x v="2"/>
    <n v="4816"/>
    <n v="4816"/>
    <n v="4836"/>
    <s v="25.668397426605225"/>
    <s v="results/7/item_solutions/pi-15-1000-1000-001.kna_100000_15_items.csv"/>
    <n v="25.6683974266052"/>
  </r>
  <r>
    <s v="pi-15-1000-1000-001.kna"/>
    <x v="1"/>
    <x v="3"/>
    <n v="4816"/>
    <n v="4816"/>
    <n v="4827"/>
    <s v="27.80883264541626"/>
    <s v="results/7/item_solutions/pi-15-1000-1000-001.kna_100000_20_items.csv"/>
    <n v="27.808832645416199"/>
  </r>
  <r>
    <s v="pi-15-1000-1000-001.kna"/>
    <x v="1"/>
    <x v="4"/>
    <n v="4816"/>
    <n v="4815"/>
    <n v="4830"/>
    <s v="24.41773009300232"/>
    <s v="results/7/item_solutions/pi-15-1000-1000-001.kna_100000_5_items.csv"/>
    <n v="24.417730093002302"/>
  </r>
  <r>
    <s v="pi-15-1000-1000-001.kna"/>
    <x v="2"/>
    <x v="0"/>
    <n v="4816"/>
    <n v="4816"/>
    <n v="4830"/>
    <s v="2.6115612983703613"/>
    <s v="results/7/item_solutions/pi-15-1000-1000-001.kna_10000_1_items.csv"/>
    <n v="2.61156129837036"/>
  </r>
  <r>
    <s v="pi-15-1000-1000-001.kna"/>
    <x v="2"/>
    <x v="1"/>
    <n v="4816"/>
    <n v="4816"/>
    <n v="4827"/>
    <s v="2.9723904132843018"/>
    <s v="results/7/item_solutions/pi-15-1000-1000-001.kna_10000_10_items.csv"/>
    <n v="2.9723904132843"/>
  </r>
  <r>
    <s v="pi-15-1000-1000-001.kna"/>
    <x v="2"/>
    <x v="2"/>
    <n v="4816"/>
    <n v="4816"/>
    <n v="4824"/>
    <s v="2.526063919067383"/>
    <s v="results/7/item_solutions/pi-15-1000-1000-001.kna_10000_15_items.csv"/>
    <n v="2.5260639190673801"/>
  </r>
  <r>
    <s v="pi-15-1000-1000-001.kna"/>
    <x v="2"/>
    <x v="3"/>
    <n v="4816"/>
    <n v="4816"/>
    <n v="4833"/>
    <s v="2.4684243202209477"/>
    <s v="results/7/item_solutions/pi-15-1000-1000-001.kna_10000_20_items.csv"/>
    <n v="2.4684243202209402"/>
  </r>
  <r>
    <s v="pi-15-1000-1000-001.kna"/>
    <x v="2"/>
    <x v="4"/>
    <n v="4816"/>
    <n v="4816"/>
    <n v="4836"/>
    <s v="1.8215749263763428"/>
    <s v="results/7/item_solutions/pi-15-1000-1000-001.kna_10000_5_items.csv"/>
    <n v="1.8215749263763401"/>
  </r>
  <r>
    <s v="pi-15-1000-1000-001.kna"/>
    <x v="3"/>
    <x v="0"/>
    <n v="4816"/>
    <n v="4816"/>
    <n v="4833"/>
    <s v="0.1886141300201416"/>
    <s v="results/7/item_solutions/pi-15-1000-1000-001.kna_1000_1_items.csv"/>
    <n v="0.18861413002014099"/>
  </r>
  <r>
    <s v="pi-15-1000-1000-001.kna"/>
    <x v="3"/>
    <x v="1"/>
    <n v="4816"/>
    <n v="4815"/>
    <n v="4836"/>
    <s v="0.3489022254943847"/>
    <s v="results/7/item_solutions/pi-15-1000-1000-001.kna_1000_10_items.csv"/>
    <n v="0.34890222549438399"/>
  </r>
  <r>
    <s v="pi-15-1000-1000-001.kna"/>
    <x v="3"/>
    <x v="2"/>
    <n v="4816"/>
    <n v="4816"/>
    <n v="4833"/>
    <s v="0.2129874229431152"/>
    <s v="results/7/item_solutions/pi-15-1000-1000-001.kna_1000_15_items.csv"/>
    <n v="0.21298742294311501"/>
  </r>
  <r>
    <s v="pi-15-1000-1000-001.kna"/>
    <x v="3"/>
    <x v="3"/>
    <n v="4816"/>
    <n v="4816"/>
    <n v="4833"/>
    <s v="0.3501574993133545"/>
    <s v="results/7/item_solutions/pi-15-1000-1000-001.kna_1000_20_items.csv"/>
    <n v="0.35015749931335399"/>
  </r>
  <r>
    <s v="pi-15-1000-1000-001.kna"/>
    <x v="3"/>
    <x v="4"/>
    <n v="4816"/>
    <n v="4816"/>
    <n v="4839"/>
    <s v="0.2411801815032959"/>
    <s v="results/7/item_solutions/pi-15-1000-1000-001.kna_1000_5_items.csv"/>
    <n v="0.24118018150329501"/>
  </r>
  <r>
    <s v="pi-15-1000-1000-001.kna"/>
    <x v="4"/>
    <x v="0"/>
    <n v="4816"/>
    <n v="4816"/>
    <n v="4833"/>
    <s v="0.0170037746429443"/>
    <s v="results/7/item_solutions/pi-15-1000-1000-001.kna_100_1_items.csv"/>
    <n v="1.7003774642944301E-2"/>
  </r>
  <r>
    <s v="pi-15-1000-1000-001.kna"/>
    <x v="4"/>
    <x v="1"/>
    <n v="4816"/>
    <n v="4816"/>
    <n v="4836"/>
    <s v="0.0200045108795166"/>
    <s v="results/7/item_solutions/pi-15-1000-1000-001.kna_100_10_items.csv"/>
    <n v="2.0004510879516602E-2"/>
  </r>
  <r>
    <s v="pi-15-1000-1000-001.kna"/>
    <x v="4"/>
    <x v="2"/>
    <n v="4816"/>
    <n v="4816"/>
    <n v="4836"/>
    <s v="0.0230307579040527"/>
    <s v="results/7/item_solutions/pi-15-1000-1000-001.kna_100_15_items.csv"/>
    <n v="2.30307579040527E-2"/>
  </r>
  <r>
    <s v="pi-15-1000-1000-001.kna"/>
    <x v="4"/>
    <x v="3"/>
    <n v="4816"/>
    <n v="4815"/>
    <n v="4833"/>
    <s v="0.0281732082366943"/>
    <s v="results/7/item_solutions/pi-15-1000-1000-001.kna_100_20_items.csv"/>
    <n v="2.8173208236694301E-2"/>
  </r>
  <r>
    <s v="pi-15-1000-1000-001.kna"/>
    <x v="4"/>
    <x v="4"/>
    <n v="4816"/>
    <n v="4816"/>
    <n v="4839"/>
    <s v="0.019033670425415"/>
    <s v="results/7/item_solutions/pi-15-1000-1000-001.kna_100_5_items.csv"/>
    <n v="1.9033670425415001E-2"/>
  </r>
  <r>
    <s v="pi-15-1000-1000-001.kna"/>
    <x v="5"/>
    <x v="0"/>
    <n v="4816"/>
    <n v="4815"/>
    <n v="4830"/>
    <s v="101.434401512146"/>
    <s v="results/7/item_solutions/pi-15-1000-1000-001.kna_500000_1_items.csv"/>
    <n v="101.434401512146"/>
  </r>
  <r>
    <s v="pi-15-1000-1000-001.kna"/>
    <x v="5"/>
    <x v="1"/>
    <n v="4816"/>
    <n v="4816"/>
    <n v="4830"/>
    <s v="115.94899344444276"/>
    <s v="results/7/item_solutions/pi-15-1000-1000-001.kna_500000_10_items.csv"/>
    <n v="115.948993444442"/>
  </r>
  <r>
    <s v="pi-15-1000-1000-001.kna"/>
    <x v="5"/>
    <x v="2"/>
    <n v="4816"/>
    <n v="4816"/>
    <n v="4827"/>
    <s v="128.1132607460022"/>
    <s v="results/7/item_solutions/pi-15-1000-1000-001.kna_500000_15_items.csv"/>
    <n v="128.113260746002"/>
  </r>
  <r>
    <s v="pi-15-1000-1000-001.kna"/>
    <x v="5"/>
    <x v="3"/>
    <n v="4816"/>
    <n v="4816"/>
    <n v="4836"/>
    <s v="124.58623385429382"/>
    <s v="results/7/item_solutions/pi-15-1000-1000-001.kna_500000_20_items.csv"/>
    <n v="124.586233854293"/>
  </r>
  <r>
    <s v="pi-15-1000-1000-001.kna"/>
    <x v="5"/>
    <x v="4"/>
    <n v="4816"/>
    <n v="4816"/>
    <n v="4830"/>
    <s v="137.05603766441345"/>
    <s v="results/7/item_solutions/pi-15-1000-1000-001.kna_500000_5_items.csv"/>
    <n v="137.056037664413"/>
  </r>
  <r>
    <s v="pi-15-1000-1000-001.kna"/>
    <x v="6"/>
    <x v="0"/>
    <n v="4816"/>
    <n v="4816"/>
    <n v="4827"/>
    <s v="11.530519962310793"/>
    <s v="results/7/item_solutions/pi-15-1000-1000-001.kna_50000_1_items.csv"/>
    <n v="11.5305199623107"/>
  </r>
  <r>
    <s v="pi-15-1000-1000-001.kna"/>
    <x v="6"/>
    <x v="1"/>
    <n v="4816"/>
    <n v="4816"/>
    <n v="4833"/>
    <s v="12.14569878578186"/>
    <s v="results/7/item_solutions/pi-15-1000-1000-001.kna_50000_10_items.csv"/>
    <n v="12.1456987857818"/>
  </r>
  <r>
    <s v="pi-15-1000-1000-001.kna"/>
    <x v="6"/>
    <x v="2"/>
    <n v="4816"/>
    <n v="4816"/>
    <n v="4824"/>
    <s v="17.230950832366943"/>
    <s v="results/7/item_solutions/pi-15-1000-1000-001.kna_50000_15_items.csv"/>
    <n v="17.230950832366901"/>
  </r>
  <r>
    <s v="pi-15-1000-1000-001.kna"/>
    <x v="6"/>
    <x v="3"/>
    <n v="4816"/>
    <n v="4816"/>
    <n v="4827"/>
    <s v="15.844626665115356"/>
    <s v="results/7/item_solutions/pi-15-1000-1000-001.kna_50000_20_items.csv"/>
    <n v="15.8446266651153"/>
  </r>
  <r>
    <s v="pi-15-1000-1000-001.kna"/>
    <x v="6"/>
    <x v="4"/>
    <n v="4816"/>
    <n v="4816"/>
    <n v="4830"/>
    <s v="17.263623476028442"/>
    <s v="results/7/item_solutions/pi-15-1000-1000-001.kna_50000_5_items.csv"/>
    <n v="17.2636234760284"/>
  </r>
  <r>
    <s v="pi-15-1000-1000-001.kna"/>
    <x v="7"/>
    <x v="0"/>
    <n v="4816"/>
    <n v="4816"/>
    <n v="4833"/>
    <s v="1.0108113288879397"/>
    <s v="results/7/item_solutions/pi-15-1000-1000-001.kna_5000_1_items.csv"/>
    <n v="1.0108113288879299"/>
  </r>
  <r>
    <s v="pi-15-1000-1000-001.kna"/>
    <x v="7"/>
    <x v="1"/>
    <n v="4816"/>
    <n v="4816"/>
    <n v="4836"/>
    <s v="0.988297700881958"/>
    <s v="results/7/item_solutions/pi-15-1000-1000-001.kna_5000_10_items.csv"/>
    <n v="0.98829770088195801"/>
  </r>
  <r>
    <s v="pi-15-1000-1000-001.kna"/>
    <x v="7"/>
    <x v="2"/>
    <n v="4816"/>
    <n v="4816"/>
    <n v="4836"/>
    <s v="1.2748703956604004"/>
    <s v="results/7/item_solutions/pi-15-1000-1000-001.kna_5000_15_items.csv"/>
    <n v="1.2748703956603999"/>
  </r>
  <r>
    <s v="pi-15-1000-1000-001.kna"/>
    <x v="7"/>
    <x v="3"/>
    <n v="4816"/>
    <n v="4816"/>
    <n v="4836"/>
    <s v="1.4366395473480225"/>
    <s v="results/7/item_solutions/pi-15-1000-1000-001.kna_5000_20_items.csv"/>
    <n v="1.43663954734802"/>
  </r>
  <r>
    <s v="pi-15-1000-1000-001.kna"/>
    <x v="7"/>
    <x v="4"/>
    <n v="4816"/>
    <n v="4816"/>
    <n v="4833"/>
    <s v="1.150205135345459"/>
    <s v="results/7/item_solutions/pi-15-1000-1000-001.kna_5000_5_items.csv"/>
    <n v="1.1502051353454501"/>
  </r>
  <r>
    <s v="pi-15-1000-1000-001.kna"/>
    <x v="8"/>
    <x v="0"/>
    <n v="4816"/>
    <n v="4816"/>
    <n v="4836"/>
    <s v="0.1106271743774414"/>
    <s v="results/7/item_solutions/pi-15-1000-1000-001.kna_500_1_items.csv"/>
    <n v="0.110627174377441"/>
  </r>
  <r>
    <s v="pi-15-1000-1000-001.kna"/>
    <x v="8"/>
    <x v="1"/>
    <n v="4816"/>
    <n v="4816"/>
    <n v="4830"/>
    <s v="0.2231812477111816"/>
    <s v="results/7/item_solutions/pi-15-1000-1000-001.kna_500_10_items.csv"/>
    <n v="0.223181247711181"/>
  </r>
  <r>
    <s v="pi-15-1000-1000-001.kna"/>
    <x v="8"/>
    <x v="2"/>
    <n v="4816"/>
    <n v="4816"/>
    <n v="4836"/>
    <s v="0.1492323875427246"/>
    <s v="results/7/item_solutions/pi-15-1000-1000-001.kna_500_15_items.csv"/>
    <n v="0.149232387542724"/>
  </r>
  <r>
    <s v="pi-15-1000-1000-001.kna"/>
    <x v="8"/>
    <x v="3"/>
    <n v="4816"/>
    <n v="4816"/>
    <n v="4833"/>
    <s v="0.119863748550415"/>
    <s v="results/7/item_solutions/pi-15-1000-1000-001.kna_500_20_items.csv"/>
    <n v="0.119863748550415"/>
  </r>
  <r>
    <s v="pi-15-1000-1000-001.kna"/>
    <x v="8"/>
    <x v="4"/>
    <n v="4816"/>
    <n v="4815"/>
    <n v="4836"/>
    <s v="0.1017398834228515"/>
    <s v="results/7/item_solutions/pi-15-1000-1000-001.kna_500_5_items.csv"/>
    <n v="0.10173988342285099"/>
  </r>
  <r>
    <s v="pi-15-1000-1000-001.kna"/>
    <x v="9"/>
    <x v="0"/>
    <n v="4816"/>
    <n v="4816"/>
    <n v="4836"/>
    <s v="0.0110001564025878"/>
    <s v="results/7/item_solutions/pi-15-1000-1000-001.kna_50_1_items.csv"/>
    <n v="1.10001564025878E-2"/>
  </r>
  <r>
    <s v="pi-15-1000-1000-001.kna"/>
    <x v="9"/>
    <x v="1"/>
    <n v="4816"/>
    <n v="4816"/>
    <n v="4833"/>
    <s v="0.0169970989227294"/>
    <s v="results/7/item_solutions/pi-15-1000-1000-001.kna_50_10_items.csv"/>
    <n v="1.6997098922729399E-2"/>
  </r>
  <r>
    <s v="pi-15-1000-1000-001.kna"/>
    <x v="9"/>
    <x v="2"/>
    <n v="4816"/>
    <n v="4816"/>
    <n v="4833"/>
    <s v="0.0110001564025878"/>
    <s v="results/7/item_solutions/pi-15-1000-1000-001.kna_50_15_items.csv"/>
    <n v="1.10001564025878E-2"/>
  </r>
  <r>
    <s v="pi-15-1000-1000-001.kna"/>
    <x v="9"/>
    <x v="3"/>
    <n v="4816"/>
    <n v="4816"/>
    <n v="4833"/>
    <s v="0.0100941658020019"/>
    <s v="results/7/item_solutions/pi-15-1000-1000-001.kna_50_20_items.csv"/>
    <n v="1.0094165802001899E-2"/>
  </r>
  <r>
    <s v="pi-15-1000-1000-001.kna"/>
    <x v="9"/>
    <x v="4"/>
    <n v="4816"/>
    <n v="4816"/>
    <n v="4830"/>
    <s v="0.0091185569763183"/>
    <s v="results/7/item_solutions/pi-15-1000-1000-001.kna_50_5_items.csv"/>
    <n v="9.1185569763183004E-3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20"/>
    <n v="41228"/>
    <s v="5738.094025611877"/>
    <s v="results/2/item_solutions/pi-12-10000-1000-001.kna_1000000_1_items.csv"/>
    <n v="5738.0940256118702"/>
  </r>
  <r>
    <s v="pi-12-10000-1000-001.kna"/>
    <x v="0"/>
    <x v="1"/>
    <n v="45132"/>
    <n v="45115"/>
    <n v="41615"/>
    <s v="7653.211806535721"/>
    <s v="results/2/item_solutions/pi-12-10000-1000-001.kna_1000000_10_items.csv"/>
    <n v="7653.2118065357199"/>
  </r>
  <r>
    <s v="pi-12-10000-1000-001.kna"/>
    <x v="0"/>
    <x v="2"/>
    <n v="45132"/>
    <n v="45126"/>
    <n v="41850"/>
    <s v="6830.527006626129"/>
    <s v="results/2/item_solutions/pi-12-10000-1000-001.kna_1000000_15_items.csv"/>
    <n v="6830.5270066261201"/>
  </r>
  <r>
    <s v="pi-12-10000-1000-001.kna"/>
    <x v="0"/>
    <x v="3"/>
    <n v="45132"/>
    <n v="45103"/>
    <n v="41729"/>
    <s v="7537.880444049835"/>
    <s v="results/2/item_solutions/pi-12-10000-1000-001.kna_1000000_20_items.csv"/>
    <n v="7537.8804440498297"/>
  </r>
  <r>
    <s v="pi-12-10000-1000-001.kna"/>
    <x v="0"/>
    <x v="4"/>
    <n v="45132"/>
    <n v="45103"/>
    <n v="41729"/>
    <s v="7088.749817371368"/>
    <s v="results/2/item_solutions/pi-12-10000-1000-001.kna_1000000_5_items.csv"/>
    <n v="7088.7498173713602"/>
  </r>
  <r>
    <s v="pi-12-10000-1000-001.kna"/>
    <x v="1"/>
    <x v="0"/>
    <n v="45132"/>
    <n v="45102"/>
    <n v="42078"/>
    <s v="533.9750549793243"/>
    <s v="results/2/item_solutions/pi-12-10000-1000-001.kna_100000_1_items.csv"/>
    <n v="533.975054979324"/>
  </r>
  <r>
    <s v="pi-12-10000-1000-001.kna"/>
    <x v="1"/>
    <x v="1"/>
    <n v="45132"/>
    <n v="45106"/>
    <n v="42040"/>
    <s v="563.5456118583679"/>
    <s v="results/2/item_solutions/pi-12-10000-1000-001.kna_100000_10_items.csv"/>
    <n v="563.54561185836701"/>
  </r>
  <r>
    <s v="pi-12-10000-1000-001.kna"/>
    <x v="1"/>
    <x v="2"/>
    <n v="45132"/>
    <n v="45120"/>
    <n v="41228"/>
    <s v="620.3323047161102"/>
    <s v="results/2/item_solutions/pi-12-10000-1000-001.kna_100000_15_items.csv"/>
    <n v="620.33230471611"/>
  </r>
  <r>
    <s v="pi-12-10000-1000-001.kna"/>
    <x v="1"/>
    <x v="3"/>
    <n v="45132"/>
    <n v="45122"/>
    <n v="40530"/>
    <s v="628.8284616470337"/>
    <s v="results/2/item_solutions/pi-12-10000-1000-001.kna_100000_20_items.csv"/>
    <n v="628.82846164703301"/>
  </r>
  <r>
    <s v="pi-12-10000-1000-001.kna"/>
    <x v="1"/>
    <x v="4"/>
    <n v="45132"/>
    <n v="45118"/>
    <n v="41926"/>
    <s v="557.2385892868042"/>
    <s v="results/2/item_solutions/pi-12-10000-1000-001.kna_100000_5_items.csv"/>
    <n v="557.23858928680397"/>
  </r>
  <r>
    <s v="pi-12-10000-1000-001.kna"/>
    <x v="2"/>
    <x v="0"/>
    <n v="45132"/>
    <n v="45126"/>
    <n v="41850"/>
    <s v="54.79172444343567"/>
    <s v="results/2/item_solutions/pi-12-10000-1000-001.kna_10000_1_items.csv"/>
    <n v="54.791724443435598"/>
  </r>
  <r>
    <s v="pi-12-10000-1000-001.kna"/>
    <x v="2"/>
    <x v="1"/>
    <n v="45132"/>
    <n v="45104"/>
    <n v="41380"/>
    <s v="61.28079438209534"/>
    <s v="results/2/item_solutions/pi-12-10000-1000-001.kna_10000_10_items.csv"/>
    <n v="61.280794382095301"/>
  </r>
  <r>
    <s v="pi-12-10000-1000-001.kna"/>
    <x v="2"/>
    <x v="2"/>
    <n v="45132"/>
    <n v="45110"/>
    <n v="42002"/>
    <s v="55.409912109375"/>
    <s v="results/2/item_solutions/pi-12-10000-1000-001.kna_10000_15_items.csv"/>
    <n v="55.409912109375"/>
  </r>
  <r>
    <s v="pi-12-10000-1000-001.kna"/>
    <x v="2"/>
    <x v="3"/>
    <n v="45132"/>
    <n v="45129"/>
    <n v="42161"/>
    <s v="59.22460675239563"/>
    <s v="results/2/item_solutions/pi-12-10000-1000-001.kna_10000_20_items.csv"/>
    <n v="59.224606752395601"/>
  </r>
  <r>
    <s v="pi-12-10000-1000-001.kna"/>
    <x v="2"/>
    <x v="4"/>
    <n v="45132"/>
    <n v="45132"/>
    <n v="41114"/>
    <s v="58.187979221344"/>
    <s v="results/2/item_solutions/pi-12-10000-1000-001.kna_10000_5_items.csv"/>
    <n v="58.187979221344001"/>
  </r>
  <r>
    <s v="pi-12-10000-1000-001.kna"/>
    <x v="3"/>
    <x v="0"/>
    <n v="45132"/>
    <n v="45106"/>
    <n v="42040"/>
    <s v="5.3021111488342285"/>
    <s v="results/2/item_solutions/pi-12-10000-1000-001.kna_1000_1_items.csv"/>
    <n v="5.3021111488342196"/>
  </r>
  <r>
    <s v="pi-12-10000-1000-001.kna"/>
    <x v="3"/>
    <x v="1"/>
    <n v="45132"/>
    <n v="45106"/>
    <n v="42040"/>
    <s v="5.992893695831299"/>
    <s v="results/2/item_solutions/pi-12-10000-1000-001.kna_1000_10_items.csv"/>
    <n v="5.9928936958312899"/>
  </r>
  <r>
    <s v="pi-12-10000-1000-001.kna"/>
    <x v="3"/>
    <x v="2"/>
    <n v="45132"/>
    <n v="45114"/>
    <n v="41964"/>
    <s v="6.048568487167358"/>
    <s v="results/2/item_solutions/pi-12-10000-1000-001.kna_1000_15_items.csv"/>
    <n v="6.0485684871673504"/>
  </r>
  <r>
    <s v="pi-12-10000-1000-001.kna"/>
    <x v="3"/>
    <x v="3"/>
    <n v="45132"/>
    <n v="45122"/>
    <n v="41888"/>
    <s v="5.862293243408203"/>
    <s v="results/2/item_solutions/pi-12-10000-1000-001.kna_1000_20_items.csv"/>
    <n v="5.8622932434081996"/>
  </r>
  <r>
    <s v="pi-12-10000-1000-001.kna"/>
    <x v="3"/>
    <x v="4"/>
    <n v="45132"/>
    <n v="45125"/>
    <n v="42199"/>
    <s v="5.147351264953613"/>
    <s v="results/2/item_solutions/pi-12-10000-1000-001.kna_1000_5_items.csv"/>
    <n v="5.1473512649536097"/>
  </r>
  <r>
    <s v="pi-12-10000-1000-001.kna"/>
    <x v="4"/>
    <x v="0"/>
    <n v="45132"/>
    <n v="45130"/>
    <n v="41812"/>
    <s v="0.5519740581512451"/>
    <s v="results/2/item_solutions/pi-12-10000-1000-001.kna_100_1_items.csv"/>
    <n v="0.55197405815124501"/>
  </r>
  <r>
    <s v="pi-12-10000-1000-001.kna"/>
    <x v="4"/>
    <x v="1"/>
    <n v="45132"/>
    <n v="45118"/>
    <n v="41926"/>
    <s v="0.4981842041015625"/>
    <s v="results/2/item_solutions/pi-12-10000-1000-001.kna_100_10_items.csv"/>
    <n v="0.498184204101562"/>
  </r>
  <r>
    <s v="pi-12-10000-1000-001.kna"/>
    <x v="4"/>
    <x v="2"/>
    <n v="45132"/>
    <n v="45118"/>
    <n v="41926"/>
    <s v="0.590895414352417"/>
    <s v="results/2/item_solutions/pi-12-10000-1000-001.kna_100_15_items.csv"/>
    <n v="0.59089541435241699"/>
  </r>
  <r>
    <s v="pi-12-10000-1000-001.kna"/>
    <x v="4"/>
    <x v="3"/>
    <n v="45132"/>
    <n v="45121"/>
    <n v="42237"/>
    <s v="0.6637496948242188"/>
    <s v="results/2/item_solutions/pi-12-10000-1000-001.kna_100_20_items.csv"/>
    <n v="0.66374969482421797"/>
  </r>
  <r>
    <s v="pi-12-10000-1000-001.kna"/>
    <x v="4"/>
    <x v="4"/>
    <n v="45132"/>
    <n v="45127"/>
    <n v="42859"/>
    <s v="0.5609545707702637"/>
    <s v="results/2/item_solutions/pi-12-10000-1000-001.kna_100_5_items.csv"/>
    <n v="0.56095457077026301"/>
  </r>
  <r>
    <s v="pi-12-10000-1000-001.kna"/>
    <x v="5"/>
    <x v="0"/>
    <n v="45132"/>
    <n v="45117"/>
    <n v="40917"/>
    <s v="3163.23525929451"/>
    <s v="results/2/item_solutions/pi-12-10000-1000-001.kna_500000_1_items.csv"/>
    <n v="3163.2352592945099"/>
  </r>
  <r>
    <s v="pi-12-10000-1000-001.kna"/>
    <x v="5"/>
    <x v="1"/>
    <n v="45132"/>
    <n v="45118"/>
    <n v="40568"/>
    <s v="2884.574019908905"/>
    <s v="results/2/item_solutions/pi-12-10000-1000-001.kna_500000_10_items.csv"/>
    <n v="2884.5740199089"/>
  </r>
  <r>
    <s v="pi-12-10000-1000-001.kna"/>
    <x v="5"/>
    <x v="2"/>
    <n v="45132"/>
    <n v="45128"/>
    <n v="41152"/>
    <s v="2891.4313554763794"/>
    <s v="results/2/item_solutions/pi-12-10000-1000-001.kna_500000_15_items.csv"/>
    <n v="2891.4313554763698"/>
  </r>
  <r>
    <s v="pi-12-10000-1000-001.kna"/>
    <x v="5"/>
    <x v="3"/>
    <n v="45132"/>
    <n v="45127"/>
    <n v="41501"/>
    <s v="3018.802525997162"/>
    <s v="results/2/item_solutions/pi-12-10000-1000-001.kna_500000_20_items.csv"/>
    <n v="3018.80252599716"/>
  </r>
  <r>
    <s v="pi-12-10000-1000-001.kna"/>
    <x v="5"/>
    <x v="4"/>
    <n v="45132"/>
    <n v="45103"/>
    <n v="41729"/>
    <s v="2712.3925931453705"/>
    <s v="results/2/item_solutions/pi-12-10000-1000-001.kna_500000_5_items.csv"/>
    <n v="2712.39259314537"/>
  </r>
  <r>
    <s v="pi-12-10000-1000-001.kna"/>
    <x v="6"/>
    <x v="0"/>
    <n v="45132"/>
    <n v="45105"/>
    <n v="42389"/>
    <s v="257.00438022613525"/>
    <s v="results/2/item_solutions/pi-12-10000-1000-001.kna_50000_1_items.csv"/>
    <n v="257.00438022613503"/>
  </r>
  <r>
    <s v="pi-12-10000-1000-001.kna"/>
    <x v="6"/>
    <x v="1"/>
    <n v="45132"/>
    <n v="45119"/>
    <n v="41577"/>
    <s v="280.2061367034912"/>
    <s v="results/2/item_solutions/pi-12-10000-1000-001.kna_50000_10_items.csv"/>
    <n v="280.20613670349098"/>
  </r>
  <r>
    <s v="pi-12-10000-1000-001.kna"/>
    <x v="6"/>
    <x v="2"/>
    <n v="45132"/>
    <n v="45100"/>
    <n v="41418"/>
    <s v="341.36445689201355"/>
    <s v="results/2/item_solutions/pi-12-10000-1000-001.kna_50000_15_items.csv"/>
    <n v="341.36445689201298"/>
  </r>
  <r>
    <s v="pi-12-10000-1000-001.kna"/>
    <x v="6"/>
    <x v="3"/>
    <n v="45132"/>
    <n v="45130"/>
    <n v="41812"/>
    <s v="303.13228058815"/>
    <s v="results/2/item_solutions/pi-12-10000-1000-001.kna_50000_20_items.csv"/>
    <n v="303.13228058815002"/>
  </r>
  <r>
    <s v="pi-12-10000-1000-001.kna"/>
    <x v="6"/>
    <x v="4"/>
    <n v="45132"/>
    <n v="45105"/>
    <n v="41031"/>
    <s v="277.54034185409546"/>
    <s v="results/2/item_solutions/pi-12-10000-1000-001.kna_50000_5_items.csv"/>
    <n v="277.540341854095"/>
  </r>
  <r>
    <s v="pi-12-10000-1000-001.kna"/>
    <x v="7"/>
    <x v="0"/>
    <n v="45132"/>
    <n v="45109"/>
    <n v="42351"/>
    <s v="25.89445281028748"/>
    <s v="results/2/item_solutions/pi-12-10000-1000-001.kna_5000_1_items.csv"/>
    <n v="25.894452810287401"/>
  </r>
  <r>
    <s v="pi-12-10000-1000-001.kna"/>
    <x v="7"/>
    <x v="1"/>
    <n v="45132"/>
    <n v="45117"/>
    <n v="42275"/>
    <s v="29.249302864074707"/>
    <s v="results/2/item_solutions/pi-12-10000-1000-001.kna_5000_10_items.csv"/>
    <n v="29.2493028640747"/>
  </r>
  <r>
    <s v="pi-12-10000-1000-001.kna"/>
    <x v="7"/>
    <x v="2"/>
    <n v="45132"/>
    <n v="45114"/>
    <n v="41964"/>
    <s v="28.646522521972656"/>
    <s v="results/2/item_solutions/pi-12-10000-1000-001.kna_5000_15_items.csv"/>
    <n v="28.646522521972599"/>
  </r>
  <r>
    <s v="pi-12-10000-1000-001.kna"/>
    <x v="7"/>
    <x v="3"/>
    <n v="45132"/>
    <n v="45125"/>
    <n v="42199"/>
    <s v="27.12929654121399"/>
    <s v="results/2/item_solutions/pi-12-10000-1000-001.kna_5000_20_items.csv"/>
    <n v="27.1292965412139"/>
  </r>
  <r>
    <s v="pi-12-10000-1000-001.kna"/>
    <x v="7"/>
    <x v="4"/>
    <n v="45132"/>
    <n v="45129"/>
    <n v="42161"/>
    <s v="29.749037742614743"/>
    <s v="results/2/item_solutions/pi-12-10000-1000-001.kna_5000_5_items.csv"/>
    <n v="29.7490377426147"/>
  </r>
  <r>
    <s v="pi-12-10000-1000-001.kna"/>
    <x v="8"/>
    <x v="0"/>
    <n v="45132"/>
    <n v="45117"/>
    <n v="42275"/>
    <s v="2.634922504425049"/>
    <s v="results/2/item_solutions/pi-12-10000-1000-001.kna_500_1_items.csv"/>
    <n v="2.6349225044250399"/>
  </r>
  <r>
    <s v="pi-12-10000-1000-001.kna"/>
    <x v="8"/>
    <x v="1"/>
    <n v="45132"/>
    <n v="45120"/>
    <n v="42586"/>
    <s v="2.9378015995025635"/>
    <s v="results/2/item_solutions/pi-12-10000-1000-001.kna_500_10_items.csv"/>
    <n v="2.9378015995025599"/>
  </r>
  <r>
    <s v="pi-12-10000-1000-001.kna"/>
    <x v="8"/>
    <x v="2"/>
    <n v="45132"/>
    <n v="45114"/>
    <n v="41964"/>
    <s v="2.9676554203033447"/>
    <s v="results/2/item_solutions/pi-12-10000-1000-001.kna_500_15_items.csv"/>
    <n v="2.9676554203033398"/>
  </r>
  <r>
    <s v="pi-12-10000-1000-001.kna"/>
    <x v="8"/>
    <x v="3"/>
    <n v="45132"/>
    <n v="45122"/>
    <n v="41888"/>
    <s v="3.1270980834960938"/>
    <s v="results/2/item_solutions/pi-12-10000-1000-001.kna_500_20_items.csv"/>
    <n v="3.1270980834960902"/>
  </r>
  <r>
    <s v="pi-12-10000-1000-001.kna"/>
    <x v="8"/>
    <x v="4"/>
    <n v="45132"/>
    <n v="45132"/>
    <n v="42472"/>
    <s v="2.71567440032959"/>
    <s v="results/2/item_solutions/pi-12-10000-1000-001.kna_500_5_items.csv"/>
    <n v="2.7156744003295898"/>
  </r>
  <r>
    <s v="pi-12-10000-1000-001.kna"/>
    <x v="9"/>
    <x v="0"/>
    <n v="45132"/>
    <n v="45106"/>
    <n v="42040"/>
    <s v="0.298372745513916"/>
    <s v="results/2/item_solutions/pi-12-10000-1000-001.kna_50_1_items.csv"/>
    <n v="0.29837274551391602"/>
  </r>
  <r>
    <s v="pi-12-10000-1000-001.kna"/>
    <x v="9"/>
    <x v="1"/>
    <n v="45132"/>
    <n v="45130"/>
    <n v="41812"/>
    <s v="0.342052698135376"/>
    <s v="results/2/item_solutions/pi-12-10000-1000-001.kna_50_10_items.csv"/>
    <n v="0.34205269813537598"/>
  </r>
  <r>
    <s v="pi-12-10000-1000-001.kna"/>
    <x v="9"/>
    <x v="2"/>
    <n v="45132"/>
    <n v="45126"/>
    <n v="41850"/>
    <s v="0.2614855766296386"/>
    <s v="results/2/item_solutions/pi-12-10000-1000-001.kna_50_15_items.csv"/>
    <n v="0.26148557662963801"/>
  </r>
  <r>
    <s v="pi-12-10000-1000-001.kna"/>
    <x v="9"/>
    <x v="3"/>
    <n v="45132"/>
    <n v="45130"/>
    <n v="41812"/>
    <s v="0.325502872467041"/>
    <s v="results/2/item_solutions/pi-12-10000-1000-001.kna_50_20_items.csv"/>
    <n v="0.32550287246704102"/>
  </r>
  <r>
    <s v="pi-12-10000-1000-001.kna"/>
    <x v="9"/>
    <x v="4"/>
    <n v="45132"/>
    <n v="45102"/>
    <n v="42078"/>
    <s v="0.2799134254455566"/>
    <s v="results/2/item_solutions/pi-12-10000-1000-001.kna_50_5_items.csv"/>
    <n v="0.27991342544555597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0-1000-001.kna"/>
    <x v="0"/>
    <x v="0"/>
    <n v="31234"/>
    <n v="31232"/>
    <n v="42432"/>
    <s v="7317.583475112915"/>
    <s v="results/5/item_solutions/pi-13-10000-1000-001.kna_1000000_1_items.csv"/>
    <n v="7317.5834751129096"/>
  </r>
  <r>
    <s v="pi-13-10000-1000-001.kna"/>
    <x v="0"/>
    <x v="1"/>
    <n v="31234"/>
    <n v="31224"/>
    <n v="42744"/>
    <s v="7089.716221094132"/>
    <s v="results/5/item_solutions/pi-13-10000-1000-001.kna_1000000_10_items.csv"/>
    <n v="7089.7162210941297"/>
  </r>
  <r>
    <s v="pi-13-10000-1000-001.kna"/>
    <x v="0"/>
    <x v="2"/>
    <n v="31234"/>
    <n v="31225"/>
    <n v="43485"/>
    <s v="6459.673049449921"/>
    <s v="results/5/item_solutions/pi-13-10000-1000-001.kna_1000000_15_items.csv"/>
    <n v="6459.6730494499197"/>
  </r>
  <r>
    <s v="pi-13-10000-1000-001.kna"/>
    <x v="0"/>
    <x v="3"/>
    <n v="31234"/>
    <n v="31227"/>
    <n v="41847"/>
    <s v="5772.634913444519"/>
    <s v="results/5/item_solutions/pi-13-10000-1000-001.kna_1000000_20_items.csv"/>
    <n v="5772.6349134445099"/>
  </r>
  <r>
    <s v="pi-13-10000-1000-001.kna"/>
    <x v="0"/>
    <x v="4"/>
    <n v="31234"/>
    <n v="31219"/>
    <n v="42159"/>
    <s v="6836.742493391037"/>
    <s v="results/5/item_solutions/pi-13-10000-1000-001.kna_1000000_5_items.csv"/>
    <n v="6836.7424933910297"/>
  </r>
  <r>
    <s v="pi-13-10000-1000-001.kna"/>
    <x v="1"/>
    <x v="0"/>
    <n v="31234"/>
    <n v="31228"/>
    <n v="41028"/>
    <s v="704.9747333526611"/>
    <s v="results/5/item_solutions/pi-13-10000-1000-001.kna_100000_1_items.csv"/>
    <n v="704.97473335266102"/>
  </r>
  <r>
    <s v="pi-13-10000-1000-001.kna"/>
    <x v="1"/>
    <x v="1"/>
    <n v="31234"/>
    <n v="31231"/>
    <n v="41691"/>
    <s v="770.735677242279"/>
    <s v="results/5/item_solutions/pi-13-10000-1000-001.kna_100000_10_items.csv"/>
    <n v="770.73567724227905"/>
  </r>
  <r>
    <s v="pi-13-10000-1000-001.kna"/>
    <x v="1"/>
    <x v="2"/>
    <n v="31234"/>
    <n v="31217"/>
    <n v="42237"/>
    <s v="777.5544002056122"/>
    <s v="results/5/item_solutions/pi-13-10000-1000-001.kna_100000_15_items.csv"/>
    <n v="777.55440020561196"/>
  </r>
  <r>
    <s v="pi-13-10000-1000-001.kna"/>
    <x v="1"/>
    <x v="3"/>
    <n v="31234"/>
    <n v="31224"/>
    <n v="42744"/>
    <s v="790.6745600700378"/>
    <s v="results/5/item_solutions/pi-13-10000-1000-001.kna_100000_20_items.csv"/>
    <n v="790.67456007003705"/>
  </r>
  <r>
    <s v="pi-13-10000-1000-001.kna"/>
    <x v="1"/>
    <x v="4"/>
    <n v="31234"/>
    <n v="31228"/>
    <n v="42588"/>
    <s v="756.2787163257599"/>
    <s v="results/5/item_solutions/pi-13-10000-1000-001.kna_100000_5_items.csv"/>
    <n v="756.27871632575898"/>
  </r>
  <r>
    <s v="pi-13-10000-1000-001.kna"/>
    <x v="2"/>
    <x v="0"/>
    <n v="31234"/>
    <n v="31229"/>
    <n v="41769"/>
    <s v="74.28240203857422"/>
    <s v="results/5/item_solutions/pi-13-10000-1000-001.kna_10000_1_items.csv"/>
    <n v="74.282402038574205"/>
  </r>
  <r>
    <s v="pi-13-10000-1000-001.kna"/>
    <x v="2"/>
    <x v="1"/>
    <n v="31234"/>
    <n v="31218"/>
    <n v="41418"/>
    <s v="74.06153678894043"/>
    <s v="results/5/item_solutions/pi-13-10000-1000-001.kna_10000_10_items.csv"/>
    <n v="74.061536788940401"/>
  </r>
  <r>
    <s v="pi-13-10000-1000-001.kna"/>
    <x v="2"/>
    <x v="2"/>
    <n v="31234"/>
    <n v="31216"/>
    <n v="43056"/>
    <s v="84.32954454421997"/>
    <s v="results/5/item_solutions/pi-13-10000-1000-001.kna_10000_15_items.csv"/>
    <n v="84.3295445442199"/>
  </r>
  <r>
    <s v="pi-13-10000-1000-001.kna"/>
    <x v="2"/>
    <x v="3"/>
    <n v="31234"/>
    <n v="31233"/>
    <n v="43173"/>
    <s v="88.49369502067566"/>
    <s v="results/5/item_solutions/pi-13-10000-1000-001.kna_10000_20_items.csv"/>
    <n v="88.493695020675602"/>
  </r>
  <r>
    <s v="pi-13-10000-1000-001.kna"/>
    <x v="2"/>
    <x v="4"/>
    <n v="31234"/>
    <n v="31219"/>
    <n v="42159"/>
    <s v="77.48275971412659"/>
    <s v="results/5/item_solutions/pi-13-10000-1000-001.kna_10000_5_items.csv"/>
    <n v="77.482759714126502"/>
  </r>
  <r>
    <s v="pi-13-10000-1000-001.kna"/>
    <x v="3"/>
    <x v="0"/>
    <n v="31234"/>
    <n v="31234"/>
    <n v="43914"/>
    <s v="9.344316244125366"/>
    <s v="results/5/item_solutions/pi-13-10000-1000-001.kna_1000_1_items.csv"/>
    <n v="9.3443162441253609"/>
  </r>
  <r>
    <s v="pi-13-10000-1000-001.kna"/>
    <x v="3"/>
    <x v="1"/>
    <n v="31234"/>
    <n v="31223"/>
    <n v="43563"/>
    <s v="8.810430765151978"/>
    <s v="results/5/item_solutions/pi-13-10000-1000-001.kna_1000_10_items.csv"/>
    <n v="8.8104307651519704"/>
  </r>
  <r>
    <s v="pi-13-10000-1000-001.kna"/>
    <x v="3"/>
    <x v="2"/>
    <n v="31234"/>
    <n v="31229"/>
    <n v="43329"/>
    <s v="8.557037353515625"/>
    <s v="results/5/item_solutions/pi-13-10000-1000-001.kna_1000_15_items.csv"/>
    <n v="8.5570373535156197"/>
  </r>
  <r>
    <s v="pi-13-10000-1000-001.kna"/>
    <x v="3"/>
    <x v="3"/>
    <n v="31234"/>
    <n v="31229"/>
    <n v="43329"/>
    <s v="8.35903525352478"/>
    <s v="results/5/item_solutions/pi-13-10000-1000-001.kna_1000_20_items.csv"/>
    <n v="8.3590352535247803"/>
  </r>
  <r>
    <s v="pi-13-10000-1000-001.kna"/>
    <x v="3"/>
    <x v="4"/>
    <n v="31234"/>
    <n v="31221"/>
    <n v="43641"/>
    <s v="8.51914095878601"/>
    <s v="results/5/item_solutions/pi-13-10000-1000-001.kna_1000_5_items.csv"/>
    <n v="8.5191409587860107"/>
  </r>
  <r>
    <s v="pi-13-10000-1000-001.kna"/>
    <x v="4"/>
    <x v="0"/>
    <n v="31234"/>
    <n v="31229"/>
    <n v="43329"/>
    <s v="0.6626560688018799"/>
    <s v="results/5/item_solutions/pi-13-10000-1000-001.kna_100_1_items.csv"/>
    <n v="0.66265606880187899"/>
  </r>
  <r>
    <s v="pi-13-10000-1000-001.kna"/>
    <x v="4"/>
    <x v="1"/>
    <n v="31234"/>
    <n v="31231"/>
    <n v="43251"/>
    <s v="1.188072681427002"/>
    <s v="results/5/item_solutions/pi-13-10000-1000-001.kna_100_10_items.csv"/>
    <n v="1.188072681427"/>
  </r>
  <r>
    <s v="pi-13-10000-1000-001.kna"/>
    <x v="4"/>
    <x v="2"/>
    <n v="31234"/>
    <n v="31218"/>
    <n v="42978"/>
    <s v="0.8627476692199707"/>
    <s v="results/5/item_solutions/pi-13-10000-1000-001.kna_100_15_items.csv"/>
    <n v="0.86274766921997004"/>
  </r>
  <r>
    <s v="pi-13-10000-1000-001.kna"/>
    <x v="4"/>
    <x v="3"/>
    <n v="31234"/>
    <n v="31225"/>
    <n v="43485"/>
    <s v="0.8871831893920898"/>
    <s v="results/5/item_solutions/pi-13-10000-1000-001.kna_100_20_items.csv"/>
    <n v="0.88718318939208896"/>
  </r>
  <r>
    <s v="pi-13-10000-1000-001.kna"/>
    <x v="4"/>
    <x v="4"/>
    <n v="31234"/>
    <n v="31232"/>
    <n v="42432"/>
    <s v="0.6553425788879395"/>
    <s v="results/5/item_solutions/pi-13-10000-1000-001.kna_100_5_items.csv"/>
    <n v="0.65534257888793901"/>
  </r>
  <r>
    <s v="pi-13-10000-1000-001.kna"/>
    <x v="5"/>
    <x v="0"/>
    <n v="31234"/>
    <n v="31219"/>
    <n v="42159"/>
    <s v="3686.092884778976"/>
    <s v="results/5/item_solutions/pi-13-10000-1000-001.kna_500000_1_items.csv"/>
    <n v="3686.0928847789701"/>
  </r>
  <r>
    <s v="pi-13-10000-1000-001.kna"/>
    <x v="5"/>
    <x v="1"/>
    <n v="31234"/>
    <n v="31232"/>
    <n v="42432"/>
    <s v="3696.281092405319"/>
    <s v="results/5/item_solutions/pi-13-10000-1000-001.kna_500000_10_items.csv"/>
    <n v="3696.2810924053101"/>
  </r>
  <r>
    <s v="pi-13-10000-1000-001.kna"/>
    <x v="5"/>
    <x v="2"/>
    <n v="31234"/>
    <n v="31220"/>
    <n v="41340"/>
    <s v="3537.8197259902954"/>
    <s v="results/5/item_solutions/pi-13-10000-1000-001.kna_500000_15_items.csv"/>
    <n v="3537.81972599029"/>
  </r>
  <r>
    <s v="pi-13-10000-1000-001.kna"/>
    <x v="5"/>
    <x v="3"/>
    <n v="31234"/>
    <n v="31231"/>
    <n v="41691"/>
    <s v="3400.0369436740875"/>
    <s v="results/5/item_solutions/pi-13-10000-1000-001.kna_500000_20_items.csv"/>
    <n v="3400.0369436740798"/>
  </r>
  <r>
    <s v="pi-13-10000-1000-001.kna"/>
    <x v="5"/>
    <x v="4"/>
    <n v="31234"/>
    <n v="31228"/>
    <n v="41028"/>
    <s v="3410.465027809143"/>
    <s v="results/5/item_solutions/pi-13-10000-1000-001.kna_500000_5_items.csv"/>
    <n v="3410.4650278091399"/>
  </r>
  <r>
    <s v="pi-13-10000-1000-001.kna"/>
    <x v="6"/>
    <x v="0"/>
    <n v="31234"/>
    <n v="31220"/>
    <n v="41340"/>
    <s v="371.3028197288513"/>
    <s v="results/5/item_solutions/pi-13-10000-1000-001.kna_50000_1_items.csv"/>
    <n v="371.30281972885098"/>
  </r>
  <r>
    <s v="pi-13-10000-1000-001.kna"/>
    <x v="6"/>
    <x v="1"/>
    <n v="31234"/>
    <n v="31224"/>
    <n v="42744"/>
    <s v="398.2855932712555"/>
    <s v="results/5/item_solutions/pi-13-10000-1000-001.kna_50000_10_items.csv"/>
    <n v="398.28559327125498"/>
  </r>
  <r>
    <s v="pi-13-10000-1000-001.kna"/>
    <x v="6"/>
    <x v="2"/>
    <n v="31234"/>
    <n v="31227"/>
    <n v="41847"/>
    <s v="403.8746871948242"/>
    <s v="results/5/item_solutions/pi-13-10000-1000-001.kna_50000_15_items.csv"/>
    <n v="403.87468719482399"/>
  </r>
  <r>
    <s v="pi-13-10000-1000-001.kna"/>
    <x v="6"/>
    <x v="3"/>
    <n v="31234"/>
    <n v="31225"/>
    <n v="41925"/>
    <s v="379.2585010528565"/>
    <s v="results/5/item_solutions/pi-13-10000-1000-001.kna_50000_20_items.csv"/>
    <n v="379.25850105285599"/>
  </r>
  <r>
    <s v="pi-13-10000-1000-001.kna"/>
    <x v="6"/>
    <x v="4"/>
    <n v="31234"/>
    <n v="31216"/>
    <n v="41496"/>
    <s v="416.6414320468903"/>
    <s v="results/5/item_solutions/pi-13-10000-1000-001.kna_50000_5_items.csv"/>
    <n v="416.64143204688997"/>
  </r>
  <r>
    <s v="pi-13-10000-1000-001.kna"/>
    <x v="7"/>
    <x v="0"/>
    <n v="31234"/>
    <n v="31232"/>
    <n v="43992"/>
    <s v="43.48854970932007"/>
    <s v="results/5/item_solutions/pi-13-10000-1000-001.kna_5000_1_items.csv"/>
    <n v="43.488549709319997"/>
  </r>
  <r>
    <s v="pi-13-10000-1000-001.kna"/>
    <x v="7"/>
    <x v="1"/>
    <n v="31234"/>
    <n v="31216"/>
    <n v="43056"/>
    <s v="40.746193408966064"/>
    <s v="results/5/item_solutions/pi-13-10000-1000-001.kna_5000_10_items.csv"/>
    <n v="40.746193408966001"/>
  </r>
  <r>
    <s v="pi-13-10000-1000-001.kna"/>
    <x v="7"/>
    <x v="2"/>
    <n v="31234"/>
    <n v="31219"/>
    <n v="43719"/>
    <s v="42.4983868598938"/>
    <s v="results/5/item_solutions/pi-13-10000-1000-001.kna_5000_15_items.csv"/>
    <n v="42.498386859893799"/>
  </r>
  <r>
    <s v="pi-13-10000-1000-001.kna"/>
    <x v="7"/>
    <x v="3"/>
    <n v="31234"/>
    <n v="31228"/>
    <n v="42588"/>
    <s v="42.33315944671631"/>
    <s v="results/5/item_solutions/pi-13-10000-1000-001.kna_5000_20_items.csv"/>
    <n v="42.333159446716301"/>
  </r>
  <r>
    <s v="pi-13-10000-1000-001.kna"/>
    <x v="7"/>
    <x v="4"/>
    <n v="31234"/>
    <n v="31233"/>
    <n v="43173"/>
    <s v="45.83684015274048"/>
    <s v="results/5/item_solutions/pi-13-10000-1000-001.kna_5000_5_items.csv"/>
    <n v="45.8368401527404"/>
  </r>
  <r>
    <s v="pi-13-10000-1000-001.kna"/>
    <x v="8"/>
    <x v="0"/>
    <n v="31234"/>
    <n v="31226"/>
    <n v="42666"/>
    <s v="4.82347559928894"/>
    <s v="results/5/item_solutions/pi-13-10000-1000-001.kna_500_1_items.csv"/>
    <n v="4.8234755992889404"/>
  </r>
  <r>
    <s v="pi-13-10000-1000-001.kna"/>
    <x v="8"/>
    <x v="1"/>
    <n v="31234"/>
    <n v="31231"/>
    <n v="43251"/>
    <s v="4.351857423782349"/>
    <s v="results/5/item_solutions/pi-13-10000-1000-001.kna_500_10_items.csv"/>
    <n v="4.3518574237823398"/>
  </r>
  <r>
    <s v="pi-13-10000-1000-001.kna"/>
    <x v="8"/>
    <x v="2"/>
    <n v="31234"/>
    <n v="31220"/>
    <n v="42900"/>
    <s v="4.540261030197144"/>
    <s v="results/5/item_solutions/pi-13-10000-1000-001.kna_500_15_items.csv"/>
    <n v="4.54026103019714"/>
  </r>
  <r>
    <s v="pi-13-10000-1000-001.kna"/>
    <x v="8"/>
    <x v="3"/>
    <n v="31234"/>
    <n v="31222"/>
    <n v="44382"/>
    <s v="4.543091535568237"/>
    <s v="results/5/item_solutions/pi-13-10000-1000-001.kna_500_20_items.csv"/>
    <n v="4.5430915355682302"/>
  </r>
  <r>
    <s v="pi-13-10000-1000-001.kna"/>
    <x v="8"/>
    <x v="4"/>
    <n v="31234"/>
    <n v="31227"/>
    <n v="43407"/>
    <s v="4.064315557479858"/>
    <s v="results/5/item_solutions/pi-13-10000-1000-001.kna_500_5_items.csv"/>
    <n v="4.0643155574798504"/>
  </r>
  <r>
    <s v="pi-13-10000-1000-001.kna"/>
    <x v="9"/>
    <x v="0"/>
    <n v="31234"/>
    <n v="31216"/>
    <n v="43056"/>
    <s v="0.3296523094177246"/>
    <s v="results/5/item_solutions/pi-13-10000-1000-001.kna_50_1_items.csv"/>
    <n v="0.329652309417724"/>
  </r>
  <r>
    <s v="pi-13-10000-1000-001.kna"/>
    <x v="9"/>
    <x v="1"/>
    <n v="31234"/>
    <n v="31224"/>
    <n v="44304"/>
    <s v="0.3835234642028808"/>
    <s v="results/5/item_solutions/pi-13-10000-1000-001.kna_50_10_items.csv"/>
    <n v="0.38352346420288003"/>
  </r>
  <r>
    <s v="pi-13-10000-1000-001.kna"/>
    <x v="9"/>
    <x v="2"/>
    <n v="31234"/>
    <n v="31225"/>
    <n v="43485"/>
    <s v="0.3842794895172119"/>
    <s v="results/5/item_solutions/pi-13-10000-1000-001.kna_50_15_items.csv"/>
    <n v="0.38427948951721103"/>
  </r>
  <r>
    <s v="pi-13-10000-1000-001.kna"/>
    <x v="9"/>
    <x v="3"/>
    <n v="31234"/>
    <n v="31231"/>
    <n v="43251"/>
    <s v="0.3964076042175293"/>
    <s v="results/5/item_solutions/pi-13-10000-1000-001.kna_50_20_items.csv"/>
    <n v="0.39640760421752902"/>
  </r>
  <r>
    <s v="pi-13-10000-1000-001.kna"/>
    <x v="9"/>
    <x v="4"/>
    <n v="31234"/>
    <n v="31222"/>
    <n v="44382"/>
    <s v="0.3780031204223633"/>
    <s v="results/5/item_solutions/pi-13-10000-1000-001.kna_50_5_items.csv"/>
    <n v="0.378003120422363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0-1000-001.kna"/>
    <x v="0"/>
    <x v="0"/>
    <n v="49297"/>
    <n v="49297"/>
    <n v="49413"/>
    <s v="5689.2303965091705"/>
    <s v="results/8/item_solutions/pi-15-10000-1000-001.kna_1000000_1_items.csv"/>
    <n v="5689.2303965091696"/>
  </r>
  <r>
    <s v="pi-15-10000-1000-001.kna"/>
    <x v="0"/>
    <x v="1"/>
    <n v="49297"/>
    <n v="49297"/>
    <n v="49410"/>
    <s v="5666.787668466568"/>
    <s v="results/8/item_solutions/pi-15-10000-1000-001.kna_1000000_10_items.csv"/>
    <n v="5666.7876684665598"/>
  </r>
  <r>
    <s v="pi-15-10000-1000-001.kna"/>
    <x v="0"/>
    <x v="2"/>
    <n v="49297"/>
    <n v="49297"/>
    <n v="49389"/>
    <s v="5820.983638763428"/>
    <s v="results/8/item_solutions/pi-15-10000-1000-001.kna_1000000_15_items.csv"/>
    <n v="5820.9836387634195"/>
  </r>
  <r>
    <s v="pi-15-10000-1000-001.kna"/>
    <x v="0"/>
    <x v="3"/>
    <n v="49297"/>
    <n v="49297"/>
    <n v="49419"/>
    <s v="5248.391664028168"/>
    <s v="results/8/item_solutions/pi-15-10000-1000-001.kna_1000000_20_items.csv"/>
    <n v="5248.3916640281604"/>
  </r>
  <r>
    <s v="pi-15-10000-1000-001.kna"/>
    <x v="0"/>
    <x v="4"/>
    <n v="49297"/>
    <n v="49297"/>
    <n v="49386"/>
    <s v="5257.103888750076"/>
    <s v="results/8/item_solutions/pi-15-10000-1000-001.kna_1000000_5_items.csv"/>
    <n v="5257.1038887500699"/>
  </r>
  <r>
    <s v="pi-15-10000-1000-001.kna"/>
    <x v="1"/>
    <x v="0"/>
    <n v="49297"/>
    <n v="49297"/>
    <n v="49419"/>
    <s v="609.6400811672211"/>
    <s v="results/8/item_solutions/pi-15-10000-1000-001.kna_100000_1_items.csv"/>
    <n v="609.64008116722096"/>
  </r>
  <r>
    <s v="pi-15-10000-1000-001.kna"/>
    <x v="1"/>
    <x v="1"/>
    <n v="49297"/>
    <n v="49297"/>
    <n v="49413"/>
    <s v="588.0355086326599"/>
    <s v="results/8/item_solutions/pi-15-10000-1000-001.kna_100000_10_items.csv"/>
    <n v="588.035508632659"/>
  </r>
  <r>
    <s v="pi-15-10000-1000-001.kna"/>
    <x v="1"/>
    <x v="2"/>
    <n v="49297"/>
    <n v="49297"/>
    <n v="49410"/>
    <s v="595.7485511302948"/>
    <s v="results/8/item_solutions/pi-15-10000-1000-001.kna_100000_15_items.csv"/>
    <n v="595.748551130294"/>
  </r>
  <r>
    <s v="pi-15-10000-1000-001.kna"/>
    <x v="1"/>
    <x v="3"/>
    <n v="49297"/>
    <n v="49297"/>
    <n v="49389"/>
    <s v="598.2618598937988"/>
    <s v="results/8/item_solutions/pi-15-10000-1000-001.kna_100000_20_items.csv"/>
    <n v="598.26185989379803"/>
  </r>
  <r>
    <s v="pi-15-10000-1000-001.kna"/>
    <x v="1"/>
    <x v="4"/>
    <n v="49297"/>
    <n v="49297"/>
    <n v="49389"/>
    <s v="568.5284805297852"/>
    <s v="results/8/item_solutions/pi-15-10000-1000-001.kna_100000_5_items.csv"/>
    <n v="568.52848052978504"/>
  </r>
  <r>
    <s v="pi-15-10000-1000-001.kna"/>
    <x v="2"/>
    <x v="0"/>
    <n v="49297"/>
    <n v="49297"/>
    <n v="49398"/>
    <s v="59.26984667778015"/>
    <s v="results/8/item_solutions/pi-15-10000-1000-001.kna_10000_1_items.csv"/>
    <n v="59.269846677780102"/>
  </r>
  <r>
    <s v="pi-15-10000-1000-001.kna"/>
    <x v="2"/>
    <x v="1"/>
    <n v="49297"/>
    <n v="49297"/>
    <n v="49407"/>
    <s v="64.39496159553528"/>
    <s v="results/8/item_solutions/pi-15-10000-1000-001.kna_10000_10_items.csv"/>
    <n v="64.394961595535193"/>
  </r>
  <r>
    <s v="pi-15-10000-1000-001.kna"/>
    <x v="2"/>
    <x v="2"/>
    <n v="49297"/>
    <n v="49297"/>
    <n v="49410"/>
    <s v="65.12932801246643"/>
    <s v="results/8/item_solutions/pi-15-10000-1000-001.kna_10000_15_items.csv"/>
    <n v="65.129328012466402"/>
  </r>
  <r>
    <s v="pi-15-10000-1000-001.kna"/>
    <x v="2"/>
    <x v="3"/>
    <n v="49297"/>
    <n v="49297"/>
    <n v="49410"/>
    <s v="68.0477385520935"/>
    <s v="results/8/item_solutions/pi-15-10000-1000-001.kna_10000_20_items.csv"/>
    <n v="68.047738552093506"/>
  </r>
  <r>
    <s v="pi-15-10000-1000-001.kna"/>
    <x v="2"/>
    <x v="4"/>
    <n v="49297"/>
    <n v="49297"/>
    <n v="49413"/>
    <s v="60.69066095352173"/>
    <s v="results/8/item_solutions/pi-15-10000-1000-001.kna_10000_5_items.csv"/>
    <n v="60.6906609535217"/>
  </r>
  <r>
    <s v="pi-15-10000-1000-001.kna"/>
    <x v="3"/>
    <x v="0"/>
    <n v="49297"/>
    <n v="49297"/>
    <n v="49410"/>
    <s v="7.0197594165802"/>
    <s v="results/8/item_solutions/pi-15-10000-1000-001.kna_1000_1_items.csv"/>
    <n v="7.0197594165802002"/>
  </r>
  <r>
    <s v="pi-15-10000-1000-001.kna"/>
    <x v="3"/>
    <x v="1"/>
    <n v="49297"/>
    <n v="49297"/>
    <n v="49422"/>
    <s v="6.242172002792358"/>
    <s v="results/8/item_solutions/pi-15-10000-1000-001.kna_1000_10_items.csv"/>
    <n v="6.2421720027923504"/>
  </r>
  <r>
    <s v="pi-15-10000-1000-001.kna"/>
    <x v="3"/>
    <x v="2"/>
    <n v="49297"/>
    <n v="49297"/>
    <n v="49425"/>
    <s v="6.192702054977417"/>
    <s v="results/8/item_solutions/pi-15-10000-1000-001.kna_1000_15_items.csv"/>
    <n v="6.1927020549774099"/>
  </r>
  <r>
    <s v="pi-15-10000-1000-001.kna"/>
    <x v="3"/>
    <x v="3"/>
    <n v="49297"/>
    <n v="49297"/>
    <n v="49413"/>
    <s v="6.592607021331787"/>
    <s v="results/8/item_solutions/pi-15-10000-1000-001.kna_1000_20_items.csv"/>
    <n v="6.59260702133178"/>
  </r>
  <r>
    <s v="pi-15-10000-1000-001.kna"/>
    <x v="3"/>
    <x v="4"/>
    <n v="49297"/>
    <n v="49297"/>
    <n v="49428"/>
    <s v="6.48587703704834"/>
    <s v="results/8/item_solutions/pi-15-10000-1000-001.kna_1000_5_items.csv"/>
    <n v="6.4858770370483398"/>
  </r>
  <r>
    <s v="pi-15-10000-1000-001.kna"/>
    <x v="4"/>
    <x v="0"/>
    <n v="49297"/>
    <n v="49297"/>
    <n v="49410"/>
    <s v="0.7182137966156006"/>
    <s v="results/8/item_solutions/pi-15-10000-1000-001.kna_100_1_items.csv"/>
    <n v="0.71821379661560003"/>
  </r>
  <r>
    <s v="pi-15-10000-1000-001.kna"/>
    <x v="4"/>
    <x v="1"/>
    <n v="49297"/>
    <n v="49297"/>
    <n v="49425"/>
    <s v="0.6342008113861084"/>
    <s v="results/8/item_solutions/pi-15-10000-1000-001.kna_100_10_items.csv"/>
    <n v="0.63420081138610795"/>
  </r>
  <r>
    <s v="pi-15-10000-1000-001.kna"/>
    <x v="4"/>
    <x v="2"/>
    <n v="49297"/>
    <n v="49297"/>
    <n v="49422"/>
    <s v="0.6330959796905518"/>
    <s v="results/8/item_solutions/pi-15-10000-1000-001.kna_100_15_items.csv"/>
    <n v="0.63309597969055098"/>
  </r>
  <r>
    <s v="pi-15-10000-1000-001.kna"/>
    <x v="4"/>
    <x v="3"/>
    <n v="49297"/>
    <n v="49297"/>
    <n v="49419"/>
    <s v="0.7108151912689209"/>
    <s v="results/8/item_solutions/pi-15-10000-1000-001.kna_100_20_items.csv"/>
    <n v="0.71081519126892001"/>
  </r>
  <r>
    <s v="pi-15-10000-1000-001.kna"/>
    <x v="4"/>
    <x v="4"/>
    <n v="49297"/>
    <n v="49297"/>
    <n v="49425"/>
    <s v="0.7027082443237305"/>
    <s v="results/8/item_solutions/pi-15-10000-1000-001.kna_100_5_items.csv"/>
    <n v="0.70270824432373002"/>
  </r>
  <r>
    <s v="pi-15-10000-1000-001.kna"/>
    <x v="5"/>
    <x v="0"/>
    <n v="49297"/>
    <n v="49297"/>
    <n v="49389"/>
    <s v="2900.20512008667"/>
    <s v="results/8/item_solutions/pi-15-10000-1000-001.kna_500000_1_items.csv"/>
    <n v="2900.2051200866699"/>
  </r>
  <r>
    <s v="pi-15-10000-1000-001.kna"/>
    <x v="5"/>
    <x v="1"/>
    <n v="49297"/>
    <n v="49297"/>
    <n v="49416"/>
    <s v="2761.197968006134"/>
    <s v="results/8/item_solutions/pi-15-10000-1000-001.kna_500000_10_items.csv"/>
    <n v="2761.1979680061299"/>
  </r>
  <r>
    <s v="pi-15-10000-1000-001.kna"/>
    <x v="5"/>
    <x v="2"/>
    <n v="49297"/>
    <n v="49297"/>
    <n v="49404"/>
    <s v="2766.798421382904"/>
    <s v="results/8/item_solutions/pi-15-10000-1000-001.kna_500000_15_items.csv"/>
    <n v="2766.7984213829"/>
  </r>
  <r>
    <s v="pi-15-10000-1000-001.kna"/>
    <x v="5"/>
    <x v="3"/>
    <n v="49297"/>
    <n v="49297"/>
    <n v="49404"/>
    <s v="2761.420135498047"/>
    <s v="results/8/item_solutions/pi-15-10000-1000-001.kna_500000_20_items.csv"/>
    <n v="2761.4201354980401"/>
  </r>
  <r>
    <s v="pi-15-10000-1000-001.kna"/>
    <x v="5"/>
    <x v="4"/>
    <n v="49297"/>
    <n v="49297"/>
    <n v="49395"/>
    <s v="2775.7652156353"/>
    <s v="results/8/item_solutions/pi-15-10000-1000-001.kna_500000_5_items.csv"/>
    <n v="2775.7652156353001"/>
  </r>
  <r>
    <s v="pi-15-10000-1000-001.kna"/>
    <x v="6"/>
    <x v="0"/>
    <n v="49297"/>
    <n v="49297"/>
    <n v="49416"/>
    <s v="307.9681327342987"/>
    <s v="results/8/item_solutions/pi-15-10000-1000-001.kna_50000_1_items.csv"/>
    <n v="307.96813273429802"/>
  </r>
  <r>
    <s v="pi-15-10000-1000-001.kna"/>
    <x v="6"/>
    <x v="1"/>
    <n v="49297"/>
    <n v="49297"/>
    <n v="49407"/>
    <s v="316.84601497650146"/>
    <s v="results/8/item_solutions/pi-15-10000-1000-001.kna_50000_10_items.csv"/>
    <n v="316.84601497650101"/>
  </r>
  <r>
    <s v="pi-15-10000-1000-001.kna"/>
    <x v="6"/>
    <x v="2"/>
    <n v="49297"/>
    <n v="49297"/>
    <n v="49434"/>
    <s v="329.8851556777954"/>
    <s v="results/8/item_solutions/pi-15-10000-1000-001.kna_50000_15_items.csv"/>
    <n v="329.88515567779501"/>
  </r>
  <r>
    <s v="pi-15-10000-1000-001.kna"/>
    <x v="6"/>
    <x v="3"/>
    <n v="49297"/>
    <n v="49297"/>
    <n v="49401"/>
    <s v="280.48802304267883"/>
    <s v="results/8/item_solutions/pi-15-10000-1000-001.kna_50000_20_items.csv"/>
    <n v="280.48802304267798"/>
  </r>
  <r>
    <s v="pi-15-10000-1000-001.kna"/>
    <x v="6"/>
    <x v="4"/>
    <n v="49297"/>
    <n v="49297"/>
    <n v="49401"/>
    <s v="311.7370743751526"/>
    <s v="results/8/item_solutions/pi-15-10000-1000-001.kna_50000_5_items.csv"/>
    <n v="311.73707437515202"/>
  </r>
  <r>
    <s v="pi-15-10000-1000-001.kna"/>
    <x v="7"/>
    <x v="0"/>
    <n v="49297"/>
    <n v="49297"/>
    <n v="49416"/>
    <s v="32.971747398376465"/>
    <s v="results/8/item_solutions/pi-15-10000-1000-001.kna_5000_1_items.csv"/>
    <n v="32.971747398376401"/>
  </r>
  <r>
    <s v="pi-15-10000-1000-001.kna"/>
    <x v="7"/>
    <x v="1"/>
    <n v="49297"/>
    <n v="49297"/>
    <n v="49434"/>
    <s v="31.39285635948181"/>
    <s v="results/8/item_solutions/pi-15-10000-1000-001.kna_5000_10_items.csv"/>
    <n v="31.392856359481801"/>
  </r>
  <r>
    <s v="pi-15-10000-1000-001.kna"/>
    <x v="7"/>
    <x v="2"/>
    <n v="49297"/>
    <n v="49297"/>
    <n v="49422"/>
    <s v="30.03437209129333"/>
    <s v="results/8/item_solutions/pi-15-10000-1000-001.kna_5000_15_items.csv"/>
    <n v="30.034372091293299"/>
  </r>
  <r>
    <s v="pi-15-10000-1000-001.kna"/>
    <x v="7"/>
    <x v="3"/>
    <n v="49297"/>
    <n v="49297"/>
    <n v="49425"/>
    <s v="32.805424213409424"/>
    <s v="results/8/item_solutions/pi-15-10000-1000-001.kna_5000_20_items.csv"/>
    <n v="32.805424213409403"/>
  </r>
  <r>
    <s v="pi-15-10000-1000-001.kna"/>
    <x v="7"/>
    <x v="4"/>
    <n v="49297"/>
    <n v="49297"/>
    <n v="49425"/>
    <s v="33.2140691280365"/>
    <s v="results/8/item_solutions/pi-15-10000-1000-001.kna_5000_5_items.csv"/>
    <n v="33.214069128036499"/>
  </r>
  <r>
    <s v="pi-15-10000-1000-001.kna"/>
    <x v="8"/>
    <x v="0"/>
    <n v="49297"/>
    <n v="49297"/>
    <n v="49413"/>
    <s v="2.890088558197021"/>
    <s v="results/8/item_solutions/pi-15-10000-1000-001.kna_500_1_items.csv"/>
    <n v="2.8900885581970202"/>
  </r>
  <r>
    <s v="pi-15-10000-1000-001.kna"/>
    <x v="8"/>
    <x v="1"/>
    <n v="49297"/>
    <n v="49297"/>
    <n v="49419"/>
    <s v="4.307091236114502"/>
    <s v="results/8/item_solutions/pi-15-10000-1000-001.kna_500_10_items.csv"/>
    <n v="4.3070912361145002"/>
  </r>
  <r>
    <s v="pi-15-10000-1000-001.kna"/>
    <x v="8"/>
    <x v="2"/>
    <n v="49297"/>
    <n v="49297"/>
    <n v="49425"/>
    <s v="3.5035109519958496"/>
    <s v="results/8/item_solutions/pi-15-10000-1000-001.kna_500_15_items.csv"/>
    <n v="3.5035109519958398"/>
  </r>
  <r>
    <s v="pi-15-10000-1000-001.kna"/>
    <x v="8"/>
    <x v="3"/>
    <n v="49297"/>
    <n v="49297"/>
    <n v="49419"/>
    <s v="3.687923669815064"/>
    <s v="results/8/item_solutions/pi-15-10000-1000-001.kna_500_20_items.csv"/>
    <n v="3.6879236698150599"/>
  </r>
  <r>
    <s v="pi-15-10000-1000-001.kna"/>
    <x v="8"/>
    <x v="4"/>
    <n v="49297"/>
    <n v="49297"/>
    <n v="49425"/>
    <s v="4.436874866485596"/>
    <s v="results/8/item_solutions/pi-15-10000-1000-001.kna_500_5_items.csv"/>
    <n v="4.4368748664855904"/>
  </r>
  <r>
    <s v="pi-15-10000-1000-001.kna"/>
    <x v="9"/>
    <x v="0"/>
    <n v="49297"/>
    <n v="49297"/>
    <n v="49425"/>
    <s v="0.4447760581970215"/>
    <s v="results/8/item_solutions/pi-15-10000-1000-001.kna_50_1_items.csv"/>
    <n v="0.44477605819702098"/>
  </r>
  <r>
    <s v="pi-15-10000-1000-001.kna"/>
    <x v="9"/>
    <x v="1"/>
    <n v="49297"/>
    <n v="49297"/>
    <n v="49413"/>
    <s v="0.2796275615692138"/>
    <s v="results/8/item_solutions/pi-15-10000-1000-001.kna_50_10_items.csv"/>
    <n v="0.27962756156921298"/>
  </r>
  <r>
    <s v="pi-15-10000-1000-001.kna"/>
    <x v="9"/>
    <x v="2"/>
    <n v="49297"/>
    <n v="49297"/>
    <n v="49431"/>
    <s v="0.4231181144714355"/>
    <s v="results/8/item_solutions/pi-15-10000-1000-001.kna_50_15_items.csv"/>
    <n v="0.42311811447143499"/>
  </r>
  <r>
    <s v="pi-15-10000-1000-001.kna"/>
    <x v="9"/>
    <x v="3"/>
    <n v="49297"/>
    <n v="49297"/>
    <n v="49425"/>
    <s v="0.3623080253601074"/>
    <s v="results/8/item_solutions/pi-15-10000-1000-001.kna_50_20_items.csv"/>
    <n v="0.36230802536010698"/>
  </r>
  <r>
    <s v="pi-15-10000-1000-001.kna"/>
    <x v="9"/>
    <x v="4"/>
    <n v="49297"/>
    <n v="49297"/>
    <n v="49416"/>
    <s v="0.3362154960632324"/>
    <s v="results/8/item_solutions/pi-15-10000-1000-001.kna_50_5_items.csv"/>
    <n v="0.33621549606323198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n v="1000"/>
    <n v="10"/>
    <n v="4556"/>
    <n v="4528"/>
    <n v="4514"/>
    <s v="0.2939746379852295"/>
    <s v="results2/item_solutions/pi-12-1000-1000-001.kna_1000_10_items.csv"/>
    <n v="0.29397463798522899"/>
    <n v="4514"/>
  </r>
  <r>
    <x v="1"/>
    <n v="100"/>
    <n v="5"/>
    <n v="45132"/>
    <n v="45132"/>
    <n v="42472"/>
    <s v="0.5407195091247559"/>
    <s v="results2/item_solutions/pi-12-10000-1000-001.kna_100_5_items.csv"/>
    <n v="0.54071950912475497"/>
    <n v="42859"/>
  </r>
  <r>
    <x v="1"/>
    <n v="500"/>
    <n v="5"/>
    <n v="45132"/>
    <n v="45128"/>
    <n v="42510"/>
    <s v="2.745490074157715"/>
    <s v="results2/item_solutions/pi-12-10000-1000-001.kna_500_5_items.csv"/>
    <n v="2.74549007415771"/>
    <n v="42859"/>
  </r>
  <r>
    <x v="2"/>
    <n v="1000"/>
    <n v="1"/>
    <n v="3177"/>
    <n v="3167"/>
    <n v="5187"/>
    <s v="0.2187891006469726"/>
    <s v="results2/item_solutions/pi-13-1000-1000-001.kna_1000_1_items.csv"/>
    <n v="0.21878910064697199"/>
    <n v="5109"/>
  </r>
  <r>
    <x v="2"/>
    <n v="100"/>
    <n v="20"/>
    <n v="3177"/>
    <n v="3161"/>
    <n v="5421"/>
    <s v="0.0261626243591308"/>
    <s v="results2/item_solutions/pi-13-1000-1000-001.kna_100_20_items.csv"/>
    <n v="2.61626243591308E-2"/>
    <n v="5109"/>
  </r>
  <r>
    <x v="2"/>
    <n v="100"/>
    <n v="5"/>
    <n v="3177"/>
    <n v="3163"/>
    <n v="5343"/>
    <s v="0.028580904006958"/>
    <s v="results2/item_solutions/pi-13-1000-1000-001.kna_100_5_items.csv"/>
    <n v="2.8580904006958001E-2"/>
    <n v="5109"/>
  </r>
  <r>
    <x v="2"/>
    <n v="50"/>
    <n v="15"/>
    <n v="3177"/>
    <n v="3167"/>
    <n v="5187"/>
    <s v="0.0200004577636718"/>
    <s v="results2/item_solutions/pi-13-1000-1000-001.kna_50_15_items.csv"/>
    <n v="2.0000457763671799E-2"/>
    <n v="5109"/>
  </r>
  <r>
    <x v="3"/>
    <n v="500"/>
    <n v="20"/>
    <n v="31234"/>
    <n v="31219"/>
    <n v="43719"/>
    <s v="3.4992876052856445"/>
    <s v="results2/item_solutions/pi-13-10000-1000-001.kna_500_20_items.csv"/>
    <n v="3.4992876052856401"/>
    <n v="44382"/>
  </r>
  <r>
    <x v="3"/>
    <n v="50"/>
    <n v="10"/>
    <n v="31234"/>
    <n v="31233"/>
    <n v="44733"/>
    <s v="0.4487755298614502"/>
    <s v="results2/item_solutions/pi-13-10000-1000-001.kna_50_10_items.csv"/>
    <n v="0.44877552986144997"/>
    <n v="44382"/>
  </r>
  <r>
    <x v="3"/>
    <n v="50"/>
    <n v="5"/>
    <n v="31234"/>
    <n v="31221"/>
    <n v="43641"/>
    <s v="0.3657960891723633"/>
    <s v="results2/item_solutions/pi-13-10000-1000-001.kna_50_5_items.csv"/>
    <n v="0.365796089172363"/>
    <n v="44382"/>
  </r>
  <r>
    <x v="4"/>
    <n v="1000"/>
    <n v="1"/>
    <n v="997"/>
    <n v="996"/>
    <n v="1005"/>
    <s v="0.0216333866119384"/>
    <s v="results2/item_solutions/pi-15-100-1000-001.kna_1000_1_items.csv"/>
    <n v="2.16333866119384E-2"/>
    <n v="1008"/>
  </r>
  <r>
    <x v="4"/>
    <n v="500"/>
    <n v="10"/>
    <n v="997"/>
    <n v="997"/>
    <n v="1005"/>
    <s v="0.0131890773773193"/>
    <s v="results2/item_solutions/pi-15-100-1000-001.kna_500_10_items.csv"/>
    <n v="1.31890773773193E-2"/>
    <n v="1008"/>
  </r>
  <r>
    <x v="4"/>
    <n v="500"/>
    <n v="20"/>
    <n v="997"/>
    <n v="997"/>
    <n v="1005"/>
    <s v="0.0121381282806396"/>
    <s v="results2/item_solutions/pi-15-100-1000-001.kna_500_20_items.csv"/>
    <n v="1.21381282806396E-2"/>
    <n v="1008"/>
  </r>
  <r>
    <x v="5"/>
    <n v="1000"/>
    <n v="5"/>
    <n v="4816"/>
    <n v="4816"/>
    <n v="4839"/>
    <s v="0.2126204967498779"/>
    <s v="results2/item_solutions/pi-15-1000-1000-001.kna_1000_5_items.csv"/>
    <n v="0.21262049674987701"/>
    <n v="4839"/>
  </r>
  <r>
    <x v="5"/>
    <n v="100"/>
    <n v="5"/>
    <n v="4816"/>
    <n v="4816"/>
    <n v="4839"/>
    <s v="0.0202200412750244"/>
    <s v="results2/item_solutions/pi-15-1000-1000-001.kna_100_5_items.csv"/>
    <n v="2.02200412750244E-2"/>
    <n v="4839"/>
  </r>
  <r>
    <x v="6"/>
    <n v="50000"/>
    <n v="15"/>
    <n v="49297"/>
    <n v="49297"/>
    <n v="49434"/>
    <s v="250.4491512775421"/>
    <s v="results2/item_solutions/pi-15-10000-1000-001.kna_50000_15_items.csv"/>
    <n v="250.449151277542"/>
    <n v="49434"/>
  </r>
  <r>
    <x v="6"/>
    <n v="5000"/>
    <n v="10"/>
    <n v="49297"/>
    <n v="49297"/>
    <n v="49437"/>
    <s v="29.18310308456421"/>
    <s v="results2/item_solutions/pi-15-10000-1000-001.kna_5000_10_items.csv"/>
    <n v="29.183103084564198"/>
    <n v="49434"/>
  </r>
  <r>
    <x v="6"/>
    <n v="5000"/>
    <n v="15"/>
    <n v="49297"/>
    <n v="49297"/>
    <n v="49428"/>
    <s v="33.32377004623413"/>
    <s v="results2/item_solutions/pi-15-10000-1000-001.kna_5000_15_items.csv"/>
    <n v="33.323770046234102"/>
    <n v="49434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pi-12-100-1000-001.kna"/>
    <x v="0"/>
    <x v="0"/>
    <n v="970"/>
    <n v="970"/>
    <n v="970"/>
    <s v="47.827348470687866"/>
    <n v="47.827348470687802"/>
  </r>
  <r>
    <s v="pi-12-100-1000-001.kna"/>
    <x v="0"/>
    <x v="1"/>
    <n v="970"/>
    <n v="970"/>
    <n v="970"/>
    <s v="0.0"/>
    <n v="0"/>
  </r>
  <r>
    <s v="pi-12-100-1000-001.kna"/>
    <x v="0"/>
    <x v="2"/>
    <n v="970"/>
    <n v="970"/>
    <n v="970"/>
    <s v="0.001162052154541"/>
    <n v="1.162052154541E-3"/>
  </r>
  <r>
    <s v="pi-12-100-1000-001.kna"/>
    <x v="0"/>
    <x v="3"/>
    <n v="970"/>
    <n v="970"/>
    <n v="970"/>
    <s v="0.0"/>
    <n v="0"/>
  </r>
  <r>
    <s v="pi-12-100-1000-001.kna"/>
    <x v="0"/>
    <x v="4"/>
    <n v="970"/>
    <n v="970"/>
    <n v="970"/>
    <s v="0.0013794898986816"/>
    <n v="1.3794898986816001E-3"/>
  </r>
  <r>
    <s v="pi-12-100-1000-001.kna"/>
    <x v="1"/>
    <x v="0"/>
    <n v="970"/>
    <n v="970"/>
    <n v="970"/>
    <s v="4.911705255508423"/>
    <n v="4.9117052555084202"/>
  </r>
  <r>
    <s v="pi-12-100-1000-001.kna"/>
    <x v="1"/>
    <x v="1"/>
    <n v="970"/>
    <n v="970"/>
    <n v="970"/>
    <s v="0.0"/>
    <n v="0"/>
  </r>
  <r>
    <s v="pi-12-100-1000-001.kna"/>
    <x v="1"/>
    <x v="2"/>
    <n v="970"/>
    <n v="970"/>
    <n v="970"/>
    <s v="3.674217700958252"/>
    <n v="3.6742177009582502"/>
  </r>
  <r>
    <s v="pi-12-100-1000-001.kna"/>
    <x v="1"/>
    <x v="3"/>
    <n v="970"/>
    <n v="970"/>
    <n v="970"/>
    <s v="0.0009984970092773"/>
    <n v="9.9849700927729995E-4"/>
  </r>
  <r>
    <s v="pi-12-100-1000-001.kna"/>
    <x v="1"/>
    <x v="4"/>
    <n v="970"/>
    <n v="970"/>
    <n v="970"/>
    <s v="4.1733338832855225"/>
    <n v="4.1733338832855198"/>
  </r>
  <r>
    <s v="pi-12-100-1000-001.kna"/>
    <x v="2"/>
    <x v="0"/>
    <n v="970"/>
    <n v="951"/>
    <n v="811"/>
    <s v="0.6841146945953369"/>
    <n v="0.68411469459533603"/>
  </r>
  <r>
    <s v="pi-12-100-1000-001.kna"/>
    <x v="2"/>
    <x v="1"/>
    <n v="970"/>
    <n v="970"/>
    <n v="970"/>
    <s v="0.0019941329956054"/>
    <n v="1.9941329956053998E-3"/>
  </r>
  <r>
    <s v="pi-12-100-1000-001.kna"/>
    <x v="2"/>
    <x v="2"/>
    <n v="970"/>
    <n v="970"/>
    <n v="970"/>
    <s v="0.0039925575256347"/>
    <n v="3.9925575256346997E-3"/>
  </r>
  <r>
    <s v="pi-12-100-1000-001.kna"/>
    <x v="2"/>
    <x v="3"/>
    <n v="970"/>
    <n v="970"/>
    <n v="970"/>
    <s v="0.0019953250885009"/>
    <n v="1.9953250885008998E-3"/>
  </r>
  <r>
    <s v="pi-12-100-1000-001.kna"/>
    <x v="2"/>
    <x v="4"/>
    <n v="970"/>
    <n v="970"/>
    <n v="970"/>
    <s v="0.5117642879486084"/>
    <n v="0.51176428794860795"/>
  </r>
  <r>
    <s v="pi-12-100-1000-001.kna"/>
    <x v="3"/>
    <x v="0"/>
    <n v="970"/>
    <n v="947"/>
    <n v="849"/>
    <s v="0.0663702487945556"/>
    <n v="6.6370248794555595E-2"/>
  </r>
  <r>
    <s v="pi-12-100-1000-001.kna"/>
    <x v="3"/>
    <x v="1"/>
    <n v="970"/>
    <n v="970"/>
    <n v="970"/>
    <s v="0.0025446414947509"/>
    <n v="2.5446414947508998E-3"/>
  </r>
  <r>
    <s v="pi-12-100-1000-001.kna"/>
    <x v="3"/>
    <x v="2"/>
    <n v="970"/>
    <n v="970"/>
    <n v="970"/>
    <s v="0.0031938552856445"/>
    <n v="3.1938552856445E-3"/>
  </r>
  <r>
    <s v="pi-12-100-1000-001.kna"/>
    <x v="3"/>
    <x v="3"/>
    <n v="970"/>
    <n v="943"/>
    <n v="887"/>
    <s v="0.0667009353637695"/>
    <n v="6.6700935363769503E-2"/>
  </r>
  <r>
    <s v="pi-12-100-1000-001.kna"/>
    <x v="3"/>
    <x v="4"/>
    <n v="970"/>
    <n v="970"/>
    <n v="970"/>
    <s v="0.0829310417175293"/>
    <n v="8.2931041717529297E-2"/>
  </r>
  <r>
    <s v="pi-12-100-1000-001.kna"/>
    <x v="4"/>
    <x v="0"/>
    <n v="970"/>
    <n v="970"/>
    <n v="970"/>
    <s v="0.0059912204742431"/>
    <n v="5.9912204742430999E-3"/>
  </r>
  <r>
    <s v="pi-12-100-1000-001.kna"/>
    <x v="4"/>
    <x v="1"/>
    <n v="970"/>
    <n v="970"/>
    <n v="970"/>
    <s v="0.0"/>
    <n v="0"/>
  </r>
  <r>
    <s v="pi-12-100-1000-001.kna"/>
    <x v="4"/>
    <x v="2"/>
    <n v="970"/>
    <n v="970"/>
    <n v="970"/>
    <s v="0.0012164115905761"/>
    <n v="1.2164115905761001E-3"/>
  </r>
  <r>
    <s v="pi-12-100-1000-001.kna"/>
    <x v="4"/>
    <x v="3"/>
    <n v="970"/>
    <n v="970"/>
    <n v="970"/>
    <s v="0.000993013381958"/>
    <n v="9.9301338195800001E-4"/>
  </r>
  <r>
    <s v="pi-12-100-1000-001.kna"/>
    <x v="4"/>
    <x v="4"/>
    <n v="970"/>
    <n v="970"/>
    <n v="970"/>
    <s v="0.0060231685638427"/>
    <n v="6.0231685638426997E-3"/>
  </r>
  <r>
    <s v="pi-12-100-1000-001.kna"/>
    <x v="5"/>
    <x v="0"/>
    <n v="970"/>
    <n v="970"/>
    <n v="970"/>
    <s v="25.204922676086422"/>
    <n v="25.204922676086401"/>
  </r>
  <r>
    <s v="pi-12-100-1000-001.kna"/>
    <x v="5"/>
    <x v="1"/>
    <n v="970"/>
    <n v="970"/>
    <n v="970"/>
    <s v="0.0010476112365722"/>
    <n v="1.0476112365721999E-3"/>
  </r>
  <r>
    <s v="pi-12-100-1000-001.kna"/>
    <x v="5"/>
    <x v="2"/>
    <n v="970"/>
    <n v="970"/>
    <n v="970"/>
    <s v="0.0037882328033447"/>
    <n v="3.7882328033447001E-3"/>
  </r>
  <r>
    <s v="pi-12-100-1000-001.kna"/>
    <x v="5"/>
    <x v="3"/>
    <n v="970"/>
    <n v="970"/>
    <n v="970"/>
    <s v="0.0021235942840576"/>
    <n v="2.1235942840575998E-3"/>
  </r>
  <r>
    <s v="pi-12-100-1000-001.kna"/>
    <x v="5"/>
    <x v="4"/>
    <n v="970"/>
    <n v="970"/>
    <n v="970"/>
    <s v="0.0019843578338623"/>
    <n v="1.9843578338622999E-3"/>
  </r>
  <r>
    <s v="pi-12-100-1000-001.kna"/>
    <x v="6"/>
    <x v="0"/>
    <n v="970"/>
    <n v="970"/>
    <n v="970"/>
    <s v="3.939992904663086"/>
    <n v="3.9399929046630802"/>
  </r>
  <r>
    <s v="pi-12-100-1000-001.kna"/>
    <x v="6"/>
    <x v="1"/>
    <n v="970"/>
    <n v="970"/>
    <n v="970"/>
    <s v="0.0015130043029785"/>
    <n v="1.5130043029785E-3"/>
  </r>
  <r>
    <s v="pi-12-100-1000-001.kna"/>
    <x v="6"/>
    <x v="2"/>
    <n v="970"/>
    <n v="970"/>
    <n v="970"/>
    <s v="0.0011842250823974"/>
    <n v="1.1842250823974E-3"/>
  </r>
  <r>
    <s v="pi-12-100-1000-001.kna"/>
    <x v="6"/>
    <x v="3"/>
    <n v="970"/>
    <n v="970"/>
    <n v="970"/>
    <s v="0.0010817050933837"/>
    <n v="1.0817050933836999E-3"/>
  </r>
  <r>
    <s v="pi-12-100-1000-001.kna"/>
    <x v="6"/>
    <x v="4"/>
    <n v="970"/>
    <n v="970"/>
    <n v="970"/>
    <s v="2.343127012252808"/>
    <n v="2.3431270122528001"/>
  </r>
  <r>
    <s v="pi-12-100-1000-001.kna"/>
    <x v="7"/>
    <x v="0"/>
    <n v="970"/>
    <n v="955"/>
    <n v="773"/>
    <s v="0.2890429496765136"/>
    <n v="0.28904294967651301"/>
  </r>
  <r>
    <s v="pi-12-100-1000-001.kna"/>
    <x v="7"/>
    <x v="1"/>
    <n v="970"/>
    <n v="970"/>
    <n v="970"/>
    <s v="0.0"/>
    <n v="0"/>
  </r>
  <r>
    <s v="pi-12-100-1000-001.kna"/>
    <x v="7"/>
    <x v="2"/>
    <n v="970"/>
    <n v="970"/>
    <n v="970"/>
    <s v="0.0010185241699218"/>
    <n v="1.0185241699218E-3"/>
  </r>
  <r>
    <s v="pi-12-100-1000-001.kna"/>
    <x v="7"/>
    <x v="3"/>
    <n v="970"/>
    <n v="970"/>
    <n v="970"/>
    <s v="0.0024068355560302"/>
    <n v="2.4068355560302001E-3"/>
  </r>
  <r>
    <s v="pi-12-100-1000-001.kna"/>
    <x v="7"/>
    <x v="4"/>
    <n v="970"/>
    <n v="970"/>
    <n v="970"/>
    <s v="0.0010056495666503"/>
    <n v="1.0056495666503E-3"/>
  </r>
  <r>
    <s v="pi-12-100-1000-001.kna"/>
    <x v="8"/>
    <x v="0"/>
    <n v="970"/>
    <n v="955"/>
    <n v="773"/>
    <s v="0.0221638679504394"/>
    <n v="2.2163867950439401E-2"/>
  </r>
  <r>
    <s v="pi-12-100-1000-001.kna"/>
    <x v="8"/>
    <x v="1"/>
    <n v="970"/>
    <n v="970"/>
    <n v="970"/>
    <s v="0.0334725379943847"/>
    <n v="3.3472537994384703E-2"/>
  </r>
  <r>
    <s v="pi-12-100-1000-001.kna"/>
    <x v="8"/>
    <x v="2"/>
    <n v="970"/>
    <n v="970"/>
    <n v="970"/>
    <s v="0.0010435581207275"/>
    <n v="1.0435581207275E-3"/>
  </r>
  <r>
    <s v="pi-12-100-1000-001.kna"/>
    <x v="8"/>
    <x v="3"/>
    <n v="970"/>
    <n v="970"/>
    <n v="970"/>
    <s v="0.0042078495025634"/>
    <n v="4.2078495025634002E-3"/>
  </r>
  <r>
    <s v="pi-12-100-1000-001.kna"/>
    <x v="8"/>
    <x v="4"/>
    <n v="970"/>
    <n v="970"/>
    <n v="970"/>
    <s v="0.0"/>
    <n v="0"/>
  </r>
  <r>
    <s v="pi-12-100-1000-001.kna"/>
    <x v="9"/>
    <x v="0"/>
    <n v="970"/>
    <n v="951"/>
    <n v="811"/>
    <s v="0.0239686965942382"/>
    <n v="2.3968696594238201E-2"/>
  </r>
  <r>
    <s v="pi-12-100-1000-001.kna"/>
    <x v="9"/>
    <x v="1"/>
    <n v="970"/>
    <n v="970"/>
    <n v="970"/>
    <s v="0.0"/>
    <n v="0"/>
  </r>
  <r>
    <s v="pi-12-100-1000-001.kna"/>
    <x v="9"/>
    <x v="2"/>
    <n v="970"/>
    <n v="970"/>
    <n v="970"/>
    <s v="0.0010437965393066"/>
    <n v="1.0437965393066001E-3"/>
  </r>
  <r>
    <s v="pi-12-100-1000-001.kna"/>
    <x v="9"/>
    <x v="3"/>
    <n v="970"/>
    <n v="970"/>
    <n v="970"/>
    <s v="0.0"/>
    <n v="0"/>
  </r>
  <r>
    <s v="pi-12-100-1000-001.kna"/>
    <x v="9"/>
    <x v="4"/>
    <n v="970"/>
    <n v="970"/>
    <n v="970"/>
    <s v="0.0010702610015869"/>
    <n v="1.0702610015869E-3"/>
  </r>
  <r>
    <s v="pi-13-100-1000-001.kna"/>
    <x v="0"/>
    <x v="0"/>
    <n v="970"/>
    <n v="960"/>
    <n v="1560"/>
    <s v="32.525567293167114"/>
    <n v="32.5255672931671"/>
  </r>
  <r>
    <s v="pi-13-100-1000-001.kna"/>
    <x v="0"/>
    <x v="1"/>
    <n v="970"/>
    <n v="969"/>
    <n v="1989"/>
    <s v="32.90218544006348"/>
    <n v="32.902185440063398"/>
  </r>
  <r>
    <s v="pi-13-100-1000-001.kna"/>
    <x v="0"/>
    <x v="2"/>
    <n v="970"/>
    <n v="969"/>
    <n v="1989"/>
    <s v="34.493696451187134"/>
    <n v="34.493696451187098"/>
  </r>
  <r>
    <s v="pi-13-100-1000-001.kna"/>
    <x v="0"/>
    <x v="3"/>
    <n v="970"/>
    <n v="969"/>
    <n v="1989"/>
    <s v="33.52549433708191"/>
    <n v="33.525494337081902"/>
  </r>
  <r>
    <s v="pi-13-100-1000-001.kna"/>
    <x v="0"/>
    <x v="4"/>
    <n v="970"/>
    <n v="956"/>
    <n v="1716"/>
    <s v="28.66398549079895"/>
    <n v="28.6639854907989"/>
  </r>
  <r>
    <s v="pi-13-100-1000-001.kna"/>
    <x v="1"/>
    <x v="0"/>
    <n v="970"/>
    <n v="954"/>
    <n v="1794"/>
    <s v="2.9671339988708496"/>
    <n v="2.9671339988708398"/>
  </r>
  <r>
    <s v="pi-13-100-1000-001.kna"/>
    <x v="1"/>
    <x v="1"/>
    <n v="970"/>
    <n v="954"/>
    <n v="1794"/>
    <s v="3.2131130695343018"/>
    <n v="3.2131130695343"/>
  </r>
  <r>
    <s v="pi-13-100-1000-001.kna"/>
    <x v="1"/>
    <x v="2"/>
    <n v="970"/>
    <n v="969"/>
    <n v="1989"/>
    <s v="3.614180326461792"/>
    <n v="3.6141803264617902"/>
  </r>
  <r>
    <s v="pi-13-100-1000-001.kna"/>
    <x v="1"/>
    <x v="3"/>
    <n v="970"/>
    <n v="969"/>
    <n v="1989"/>
    <s v="3.517341375350952"/>
    <n v="3.5173413753509499"/>
  </r>
  <r>
    <s v="pi-13-100-1000-001.kna"/>
    <x v="1"/>
    <x v="4"/>
    <n v="970"/>
    <n v="969"/>
    <n v="1989"/>
    <s v="3.6816494464874263"/>
    <n v="3.6816494464874201"/>
  </r>
  <r>
    <s v="pi-13-100-1000-001.kna"/>
    <x v="2"/>
    <x v="0"/>
    <n v="970"/>
    <n v="969"/>
    <n v="1989"/>
    <s v="0.3237948417663574"/>
    <n v="0.32379484176635698"/>
  </r>
  <r>
    <s v="pi-13-100-1000-001.kna"/>
    <x v="2"/>
    <x v="1"/>
    <n v="970"/>
    <n v="956"/>
    <n v="1716"/>
    <s v="0.3486459255218506"/>
    <n v="0.34864592552184998"/>
  </r>
  <r>
    <s v="pi-13-100-1000-001.kna"/>
    <x v="2"/>
    <x v="2"/>
    <n v="970"/>
    <n v="958"/>
    <n v="1638"/>
    <s v="0.3667256832122803"/>
    <n v="0.36672568321228"/>
  </r>
  <r>
    <s v="pi-13-100-1000-001.kna"/>
    <x v="2"/>
    <x v="3"/>
    <n v="970"/>
    <n v="956"/>
    <n v="1716"/>
    <s v="0.3322145938873291"/>
    <n v="0.33221459388732899"/>
  </r>
  <r>
    <s v="pi-13-100-1000-001.kna"/>
    <x v="2"/>
    <x v="4"/>
    <n v="970"/>
    <n v="969"/>
    <n v="1989"/>
    <s v="0.3256237506866455"/>
    <n v="0.32562375068664501"/>
  </r>
  <r>
    <s v="pi-13-100-1000-001.kna"/>
    <x v="3"/>
    <x v="0"/>
    <n v="970"/>
    <n v="969"/>
    <n v="1989"/>
    <s v="0.0319695472717285"/>
    <n v="3.1969547271728502E-2"/>
  </r>
  <r>
    <s v="pi-13-100-1000-001.kna"/>
    <x v="3"/>
    <x v="1"/>
    <n v="970"/>
    <n v="969"/>
    <n v="1989"/>
    <s v="0.0405163764953613"/>
    <n v="4.05163764953613E-2"/>
  </r>
  <r>
    <s v="pi-13-100-1000-001.kna"/>
    <x v="3"/>
    <x v="2"/>
    <n v="970"/>
    <n v="969"/>
    <n v="1989"/>
    <s v="0.035041332244873"/>
    <n v="3.5041332244872998E-2"/>
  </r>
  <r>
    <s v="pi-13-100-1000-001.kna"/>
    <x v="3"/>
    <x v="3"/>
    <n v="970"/>
    <n v="969"/>
    <n v="1989"/>
    <s v="0.0341572761535644"/>
    <n v="3.4157276153564398E-2"/>
  </r>
  <r>
    <s v="pi-13-100-1000-001.kna"/>
    <x v="3"/>
    <x v="4"/>
    <n v="970"/>
    <n v="969"/>
    <n v="1989"/>
    <s v="0.0320005416870117"/>
    <n v="3.2000541687011698E-2"/>
  </r>
  <r>
    <s v="pi-13-100-1000-001.kna"/>
    <x v="4"/>
    <x v="0"/>
    <n v="970"/>
    <n v="969"/>
    <n v="1989"/>
    <s v="0.0030357837677001"/>
    <n v="3.0357837677000999E-3"/>
  </r>
  <r>
    <s v="pi-13-100-1000-001.kna"/>
    <x v="4"/>
    <x v="1"/>
    <n v="970"/>
    <n v="969"/>
    <n v="1989"/>
    <s v="0.0030357837677001"/>
    <n v="3.0357837677000999E-3"/>
  </r>
  <r>
    <s v="pi-13-100-1000-001.kna"/>
    <x v="4"/>
    <x v="2"/>
    <n v="970"/>
    <n v="969"/>
    <n v="1989"/>
    <s v="0.003962755203247"/>
    <n v="3.9627552032470001E-3"/>
  </r>
  <r>
    <s v="pi-13-100-1000-001.kna"/>
    <x v="4"/>
    <x v="3"/>
    <n v="970"/>
    <n v="969"/>
    <n v="1989"/>
    <s v="0.0039992332458496"/>
    <n v="3.9992332458495998E-3"/>
  </r>
  <r>
    <s v="pi-13-100-1000-001.kna"/>
    <x v="4"/>
    <x v="4"/>
    <n v="970"/>
    <n v="969"/>
    <n v="1989"/>
    <s v="0.0029983520507812"/>
    <n v="2.9983520507812001E-3"/>
  </r>
  <r>
    <s v="pi-13-100-1000-001.kna"/>
    <x v="5"/>
    <x v="0"/>
    <n v="970"/>
    <n v="969"/>
    <n v="1989"/>
    <s v="18.64244627952576"/>
    <n v="18.6424462795257"/>
  </r>
  <r>
    <s v="pi-13-100-1000-001.kna"/>
    <x v="5"/>
    <x v="1"/>
    <n v="970"/>
    <n v="969"/>
    <n v="1989"/>
    <s v="17.75822114944458"/>
    <n v="17.758221149444498"/>
  </r>
  <r>
    <s v="pi-13-100-1000-001.kna"/>
    <x v="5"/>
    <x v="2"/>
    <n v="970"/>
    <n v="969"/>
    <n v="1989"/>
    <s v="22.019073486328125"/>
    <n v="22.0190734863281"/>
  </r>
  <r>
    <s v="pi-13-100-1000-001.kna"/>
    <x v="5"/>
    <x v="3"/>
    <n v="970"/>
    <n v="969"/>
    <n v="1989"/>
    <s v="23.397507667541504"/>
    <n v="23.3975076675415"/>
  </r>
  <r>
    <s v="pi-13-100-1000-001.kna"/>
    <x v="5"/>
    <x v="4"/>
    <n v="970"/>
    <n v="960"/>
    <n v="1560"/>
    <s v="15.385166645050049"/>
    <n v="15.385166645050001"/>
  </r>
  <r>
    <s v="pi-13-100-1000-001.kna"/>
    <x v="6"/>
    <x v="0"/>
    <n v="970"/>
    <n v="956"/>
    <n v="1716"/>
    <s v="1.473513126373291"/>
    <n v="1.4735131263732899"/>
  </r>
  <r>
    <s v="pi-13-100-1000-001.kna"/>
    <x v="6"/>
    <x v="1"/>
    <n v="970"/>
    <n v="956"/>
    <n v="1716"/>
    <s v="1.6426265239715576"/>
    <n v="1.6426265239715501"/>
  </r>
  <r>
    <s v="pi-13-100-1000-001.kna"/>
    <x v="6"/>
    <x v="2"/>
    <n v="970"/>
    <n v="969"/>
    <n v="1989"/>
    <s v="1.6228981018066406"/>
    <n v="1.62289810180664"/>
  </r>
  <r>
    <s v="pi-13-100-1000-001.kna"/>
    <x v="6"/>
    <x v="3"/>
    <n v="970"/>
    <n v="969"/>
    <n v="1989"/>
    <s v="1.7622015476226809"/>
    <n v="1.76220154762268"/>
  </r>
  <r>
    <s v="pi-13-100-1000-001.kna"/>
    <x v="6"/>
    <x v="4"/>
    <n v="970"/>
    <n v="969"/>
    <n v="1989"/>
    <s v="1.6156044006347656"/>
    <n v="1.6156044006347601"/>
  </r>
  <r>
    <s v="pi-13-100-1000-001.kna"/>
    <x v="7"/>
    <x v="0"/>
    <n v="970"/>
    <n v="954"/>
    <n v="1794"/>
    <s v="0.1520452499389648"/>
    <n v="0.15204524993896401"/>
  </r>
  <r>
    <s v="pi-13-100-1000-001.kna"/>
    <x v="7"/>
    <x v="1"/>
    <n v="970"/>
    <n v="956"/>
    <n v="1716"/>
    <s v="0.156991958618164"/>
    <n v="0.15699195861816401"/>
  </r>
  <r>
    <s v="pi-13-100-1000-001.kna"/>
    <x v="7"/>
    <x v="2"/>
    <n v="970"/>
    <n v="958"/>
    <n v="1638"/>
    <s v="0.166736364364624"/>
    <n v="0.166736364364624"/>
  </r>
  <r>
    <s v="pi-13-100-1000-001.kna"/>
    <x v="7"/>
    <x v="3"/>
    <n v="970"/>
    <n v="969"/>
    <n v="1989"/>
    <s v="0.1861524581909179"/>
    <n v="0.186152458190917"/>
  </r>
  <r>
    <s v="pi-13-100-1000-001.kna"/>
    <x v="7"/>
    <x v="4"/>
    <n v="970"/>
    <n v="969"/>
    <n v="1989"/>
    <s v="0.1572208404541015"/>
    <n v="0.15722084045410101"/>
  </r>
  <r>
    <s v="pi-13-100-1000-001.kna"/>
    <x v="8"/>
    <x v="0"/>
    <n v="970"/>
    <n v="956"/>
    <n v="1716"/>
    <s v="0.0199661254882812"/>
    <n v="1.9966125488281201E-2"/>
  </r>
  <r>
    <s v="pi-13-100-1000-001.kna"/>
    <x v="8"/>
    <x v="1"/>
    <n v="970"/>
    <n v="969"/>
    <n v="1989"/>
    <s v="0.0159835815429687"/>
    <n v="1.5983581542968701E-2"/>
  </r>
  <r>
    <s v="pi-13-100-1000-001.kna"/>
    <x v="8"/>
    <x v="2"/>
    <n v="970"/>
    <n v="958"/>
    <n v="1638"/>
    <s v="0.0150339603424072"/>
    <n v="1.5033960342407201E-2"/>
  </r>
  <r>
    <s v="pi-13-100-1000-001.kna"/>
    <x v="8"/>
    <x v="3"/>
    <n v="970"/>
    <n v="958"/>
    <n v="1638"/>
    <s v="0.0184037685394287"/>
    <n v="1.8403768539428701E-2"/>
  </r>
  <r>
    <s v="pi-13-100-1000-001.kna"/>
    <x v="8"/>
    <x v="4"/>
    <n v="970"/>
    <n v="969"/>
    <n v="1989"/>
    <s v="0.0187957286834716"/>
    <n v="1.87957286834716E-2"/>
  </r>
  <r>
    <s v="pi-13-100-1000-001.kna"/>
    <x v="9"/>
    <x v="0"/>
    <n v="970"/>
    <n v="958"/>
    <n v="1638"/>
    <s v="0.0019991397857666"/>
    <n v="1.9991397857665998E-3"/>
  </r>
  <r>
    <s v="pi-13-100-1000-001.kna"/>
    <x v="9"/>
    <x v="1"/>
    <n v="970"/>
    <n v="969"/>
    <n v="1989"/>
    <s v="0.0020153522491455"/>
    <n v="2.0153522491455E-3"/>
  </r>
  <r>
    <s v="pi-13-100-1000-001.kna"/>
    <x v="9"/>
    <x v="2"/>
    <n v="970"/>
    <n v="958"/>
    <n v="1638"/>
    <s v="0.0020334720611572"/>
    <n v="2.0334720611572001E-3"/>
  </r>
  <r>
    <s v="pi-13-100-1000-001.kna"/>
    <x v="9"/>
    <x v="3"/>
    <n v="970"/>
    <n v="969"/>
    <n v="1989"/>
    <s v="0.0020322799682617"/>
    <n v="2.0322799682617001E-3"/>
  </r>
  <r>
    <s v="pi-13-100-1000-001.kna"/>
    <x v="9"/>
    <x v="4"/>
    <n v="970"/>
    <n v="960"/>
    <n v="1560"/>
    <s v="0.0020039081573486"/>
    <n v="2.0039081573485999E-3"/>
  </r>
  <r>
    <s v="pi-15-100-1000-001.kna"/>
    <x v="0"/>
    <x v="0"/>
    <n v="997"/>
    <n v="997"/>
    <n v="1002"/>
    <s v="19.119575262069706"/>
    <n v="19.119575262069699"/>
  </r>
  <r>
    <s v="pi-15-100-1000-001.kna"/>
    <x v="0"/>
    <x v="1"/>
    <n v="997"/>
    <n v="996"/>
    <n v="1002"/>
    <s v="0.0009691715240478"/>
    <n v="9.6917152404779995E-4"/>
  </r>
  <r>
    <s v="pi-15-100-1000-001.kna"/>
    <x v="0"/>
    <x v="2"/>
    <n v="997"/>
    <n v="997"/>
    <n v="1005"/>
    <s v="0.0019989013671875"/>
    <n v="1.9989013671875E-3"/>
  </r>
  <r>
    <s v="pi-15-100-1000-001.kna"/>
    <x v="0"/>
    <x v="3"/>
    <n v="997"/>
    <n v="997"/>
    <n v="999"/>
    <s v="0.0010018348693847"/>
    <n v="1.0018348693846999E-3"/>
  </r>
  <r>
    <s v="pi-15-100-1000-001.kna"/>
    <x v="0"/>
    <x v="4"/>
    <n v="997"/>
    <n v="997"/>
    <n v="1002"/>
    <s v="23.432671546936035"/>
    <n v="23.432671546936"/>
  </r>
  <r>
    <s v="pi-15-100-1000-001.kna"/>
    <x v="1"/>
    <x v="0"/>
    <n v="997"/>
    <n v="997"/>
    <n v="1002"/>
    <s v="1.9012548923492432"/>
    <n v="1.9012548923492401"/>
  </r>
  <r>
    <s v="pi-15-100-1000-001.kna"/>
    <x v="1"/>
    <x v="1"/>
    <n v="997"/>
    <n v="997"/>
    <n v="1002"/>
    <s v="0.0010004043579101"/>
    <n v="1.0004043579101001E-3"/>
  </r>
  <r>
    <s v="pi-15-100-1000-001.kna"/>
    <x v="1"/>
    <x v="2"/>
    <n v="997"/>
    <n v="997"/>
    <n v="1002"/>
    <s v="2.513124704360962"/>
    <n v="2.5131247043609601"/>
  </r>
  <r>
    <s v="pi-15-100-1000-001.kna"/>
    <x v="1"/>
    <x v="3"/>
    <n v="997"/>
    <n v="996"/>
    <n v="1005"/>
    <s v="2.3696627616882324"/>
    <n v="2.3696627616882302"/>
  </r>
  <r>
    <s v="pi-15-100-1000-001.kna"/>
    <x v="1"/>
    <x v="4"/>
    <n v="997"/>
    <n v="993"/>
    <n v="999"/>
    <s v="2.176194429397583"/>
    <n v="2.1761944293975799"/>
  </r>
  <r>
    <s v="pi-15-100-1000-001.kna"/>
    <x v="2"/>
    <x v="0"/>
    <n v="997"/>
    <n v="995"/>
    <n v="999"/>
    <s v="0.20918869972229"/>
    <n v="0.20918869972229001"/>
  </r>
  <r>
    <s v="pi-15-100-1000-001.kna"/>
    <x v="2"/>
    <x v="1"/>
    <n v="997"/>
    <n v="997"/>
    <n v="1002"/>
    <s v="0.2362246513366699"/>
    <n v="0.23622465133666901"/>
  </r>
  <r>
    <s v="pi-15-100-1000-001.kna"/>
    <x v="2"/>
    <x v="2"/>
    <n v="997"/>
    <n v="997"/>
    <n v="1002"/>
    <s v="0.0009679794311523"/>
    <n v="9.6797943115229995E-4"/>
  </r>
  <r>
    <s v="pi-15-100-1000-001.kna"/>
    <x v="2"/>
    <x v="3"/>
    <n v="997"/>
    <n v="996"/>
    <n v="1002"/>
    <s v="0.0009963512420654"/>
    <n v="9.9635124206539998E-4"/>
  </r>
  <r>
    <s v="pi-15-100-1000-001.kna"/>
    <x v="2"/>
    <x v="4"/>
    <n v="997"/>
    <n v="997"/>
    <n v="1002"/>
    <s v="0.2845633029937744"/>
    <n v="0.28456330299377403"/>
  </r>
  <r>
    <s v="pi-15-100-1000-001.kna"/>
    <x v="3"/>
    <x v="0"/>
    <n v="997"/>
    <n v="997"/>
    <n v="1008"/>
    <s v="0.0230319499969482"/>
    <n v="2.3031949996948201E-2"/>
  </r>
  <r>
    <s v="pi-15-100-1000-001.kna"/>
    <x v="3"/>
    <x v="1"/>
    <n v="997"/>
    <n v="997"/>
    <n v="1002"/>
    <s v="0.0239992141723632"/>
    <n v="2.3999214172363201E-2"/>
  </r>
  <r>
    <s v="pi-15-100-1000-001.kna"/>
    <x v="3"/>
    <x v="2"/>
    <n v="997"/>
    <n v="997"/>
    <n v="1002"/>
    <s v="0.0010032653808593"/>
    <n v="1.0032653808593E-3"/>
  </r>
  <r>
    <s v="pi-15-100-1000-001.kna"/>
    <x v="3"/>
    <x v="3"/>
    <n v="997"/>
    <n v="997"/>
    <n v="1002"/>
    <s v="0.0"/>
    <n v="0"/>
  </r>
  <r>
    <s v="pi-15-100-1000-001.kna"/>
    <x v="3"/>
    <x v="4"/>
    <n v="997"/>
    <n v="995"/>
    <n v="1002"/>
    <s v="0.0231609344482421"/>
    <n v="2.3160934448242101E-2"/>
  </r>
  <r>
    <s v="pi-15-100-1000-001.kna"/>
    <x v="4"/>
    <x v="0"/>
    <n v="997"/>
    <n v="995"/>
    <n v="1002"/>
    <s v="0.0030345916748046"/>
    <n v="3.0345916748045999E-3"/>
  </r>
  <r>
    <s v="pi-15-100-1000-001.kna"/>
    <x v="4"/>
    <x v="1"/>
    <n v="997"/>
    <n v="997"/>
    <n v="1002"/>
    <s v="0.0019981861114501"/>
    <n v="1.9981861114500999E-3"/>
  </r>
  <r>
    <s v="pi-15-100-1000-001.kna"/>
    <x v="4"/>
    <x v="2"/>
    <n v="997"/>
    <n v="996"/>
    <n v="1002"/>
    <s v="0.0040004253387451"/>
    <n v="4.0004253387450998E-3"/>
  </r>
  <r>
    <s v="pi-15-100-1000-001.kna"/>
    <x v="4"/>
    <x v="3"/>
    <n v="997"/>
    <n v="997"/>
    <n v="1002"/>
    <s v="0.0010011196136474"/>
    <n v="1.0011196136474E-3"/>
  </r>
  <r>
    <s v="pi-15-100-1000-001.kna"/>
    <x v="4"/>
    <x v="4"/>
    <n v="997"/>
    <n v="997"/>
    <n v="1005"/>
    <s v="0.0030016899108886"/>
    <n v="3.0016899108885999E-3"/>
  </r>
  <r>
    <s v="pi-15-100-1000-001.kna"/>
    <x v="5"/>
    <x v="0"/>
    <n v="997"/>
    <n v="997"/>
    <n v="1002"/>
    <s v="12.26422953605652"/>
    <n v="12.264229536056501"/>
  </r>
  <r>
    <s v="pi-15-100-1000-001.kna"/>
    <x v="5"/>
    <x v="1"/>
    <n v="997"/>
    <n v="997"/>
    <n v="1005"/>
    <s v="12.32103395462036"/>
    <n v="12.321033954620299"/>
  </r>
  <r>
    <s v="pi-15-100-1000-001.kna"/>
    <x v="5"/>
    <x v="2"/>
    <n v="997"/>
    <n v="996"/>
    <n v="999"/>
    <s v="0.0009729862213134"/>
    <n v="9.7298622131340002E-4"/>
  </r>
  <r>
    <s v="pi-15-100-1000-001.kna"/>
    <x v="5"/>
    <x v="3"/>
    <n v="997"/>
    <n v="997"/>
    <n v="1002"/>
    <s v="0.0020327568054199"/>
    <n v="2.0327568054199002E-3"/>
  </r>
  <r>
    <s v="pi-15-100-1000-001.kna"/>
    <x v="5"/>
    <x v="4"/>
    <n v="997"/>
    <n v="996"/>
    <n v="1002"/>
    <s v="12.38166856765747"/>
    <n v="12.3816685676574"/>
  </r>
  <r>
    <s v="pi-15-100-1000-001.kna"/>
    <x v="6"/>
    <x v="0"/>
    <n v="997"/>
    <n v="996"/>
    <n v="1002"/>
    <s v="0.9910316467285156"/>
    <n v="0.99103164672851496"/>
  </r>
  <r>
    <s v="pi-15-100-1000-001.kna"/>
    <x v="6"/>
    <x v="1"/>
    <n v="997"/>
    <n v="997"/>
    <n v="1002"/>
    <s v="1.3269388675689695"/>
    <n v="1.32693886756896"/>
  </r>
  <r>
    <s v="pi-15-100-1000-001.kna"/>
    <x v="6"/>
    <x v="2"/>
    <n v="997"/>
    <n v="997"/>
    <n v="999"/>
    <s v="0.0"/>
    <n v="0"/>
  </r>
  <r>
    <s v="pi-15-100-1000-001.kna"/>
    <x v="6"/>
    <x v="3"/>
    <n v="997"/>
    <n v="994"/>
    <n v="1002"/>
    <s v="0.0010085105895996"/>
    <n v="1.0085105895996001E-3"/>
  </r>
  <r>
    <s v="pi-15-100-1000-001.kna"/>
    <x v="6"/>
    <x v="4"/>
    <n v="997"/>
    <n v="996"/>
    <n v="1002"/>
    <s v="1.4089365005493164"/>
    <n v="1.40893650054931"/>
  </r>
  <r>
    <s v="pi-15-100-1000-001.kna"/>
    <x v="7"/>
    <x v="0"/>
    <n v="997"/>
    <n v="997"/>
    <n v="1002"/>
    <s v="0.1065914630889892"/>
    <n v="0.10659146308898899"/>
  </r>
  <r>
    <s v="pi-15-100-1000-001.kna"/>
    <x v="7"/>
    <x v="1"/>
    <n v="997"/>
    <n v="997"/>
    <n v="1002"/>
    <s v="0.0009591579437255"/>
    <n v="9.5915794372549996E-4"/>
  </r>
  <r>
    <s v="pi-15-100-1000-001.kna"/>
    <x v="7"/>
    <x v="2"/>
    <n v="997"/>
    <n v="997"/>
    <n v="1002"/>
    <s v="0.0009996891021728"/>
    <n v="9.9968910217279995E-4"/>
  </r>
  <r>
    <s v="pi-15-100-1000-001.kna"/>
    <x v="7"/>
    <x v="3"/>
    <n v="997"/>
    <n v="997"/>
    <n v="1002"/>
    <s v="0.0009646415710449"/>
    <n v="9.6464157104489997E-4"/>
  </r>
  <r>
    <s v="pi-15-100-1000-001.kna"/>
    <x v="7"/>
    <x v="4"/>
    <n v="997"/>
    <n v="995"/>
    <n v="1002"/>
    <s v="0.1102602481842041"/>
    <n v="0.110260248184204"/>
  </r>
  <r>
    <s v="pi-15-100-1000-001.kna"/>
    <x v="8"/>
    <x v="0"/>
    <n v="997"/>
    <n v="997"/>
    <n v="1002"/>
    <s v="0.0101048946380615"/>
    <n v="1.0104894638061499E-2"/>
  </r>
  <r>
    <s v="pi-15-100-1000-001.kna"/>
    <x v="8"/>
    <x v="1"/>
    <n v="997"/>
    <n v="996"/>
    <n v="1005"/>
    <s v="0.0121428966522216"/>
    <n v="1.21428966522216E-2"/>
  </r>
  <r>
    <s v="pi-15-100-1000-001.kna"/>
    <x v="8"/>
    <x v="2"/>
    <n v="997"/>
    <n v="995"/>
    <n v="1002"/>
    <s v="0.0009963512420654"/>
    <n v="9.9635124206539998E-4"/>
  </r>
  <r>
    <s v="pi-15-100-1000-001.kna"/>
    <x v="8"/>
    <x v="3"/>
    <n v="997"/>
    <n v="997"/>
    <n v="1005"/>
    <s v="0.0010371208190917"/>
    <n v="1.0371208190916999E-3"/>
  </r>
  <r>
    <s v="pi-15-100-1000-001.kna"/>
    <x v="8"/>
    <x v="4"/>
    <n v="997"/>
    <n v="996"/>
    <n v="1005"/>
    <s v="0.0110344886779785"/>
    <n v="1.10344886779785E-2"/>
  </r>
  <r>
    <s v="pi-15-100-1000-001.kna"/>
    <x v="9"/>
    <x v="0"/>
    <n v="997"/>
    <n v="995"/>
    <n v="999"/>
    <s v="0.0020036697387695"/>
    <n v="2.0036697387695E-3"/>
  </r>
  <r>
    <s v="pi-15-100-1000-001.kna"/>
    <x v="9"/>
    <x v="1"/>
    <n v="997"/>
    <n v="996"/>
    <n v="1002"/>
    <s v="0.0009996891021728"/>
    <n v="9.9968910217279995E-4"/>
  </r>
  <r>
    <s v="pi-15-100-1000-001.kna"/>
    <x v="9"/>
    <x v="2"/>
    <n v="997"/>
    <n v="997"/>
    <n v="1002"/>
    <s v="0.0009996891021728"/>
    <n v="9.9968910217279995E-4"/>
  </r>
  <r>
    <s v="pi-15-100-1000-001.kna"/>
    <x v="9"/>
    <x v="3"/>
    <n v="997"/>
    <n v="997"/>
    <n v="1005"/>
    <s v="0.0019998550415039"/>
    <n v="1.9998550415039002E-3"/>
  </r>
  <r>
    <s v="pi-15-100-1000-001.kna"/>
    <x v="9"/>
    <x v="4"/>
    <n v="997"/>
    <n v="997"/>
    <n v="1002"/>
    <s v="0.0009932518005371"/>
    <n v="9.9325180053710005E-4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pi-12-1000-1000-001.kna"/>
    <x v="0"/>
    <n v="1"/>
    <n v="4556"/>
    <n v="4501"/>
    <n v="4431"/>
    <s v="271.08083319664"/>
    <n v="271.08083319664001"/>
  </r>
  <r>
    <s v="pi-12-1000-1000-001.kna"/>
    <x v="0"/>
    <n v="10"/>
    <n v="4556"/>
    <n v="4528"/>
    <n v="4514"/>
    <s v="251.1317727565765"/>
    <n v="251.131772756576"/>
  </r>
  <r>
    <s v="pi-12-1000-1000-001.kna"/>
    <x v="0"/>
    <n v="15"/>
    <n v="4556"/>
    <n v="4532"/>
    <n v="4476"/>
    <s v="200.94095134735107"/>
    <n v="200.94095134735099"/>
  </r>
  <r>
    <s v="pi-12-1000-1000-001.kna"/>
    <x v="0"/>
    <n v="20"/>
    <n v="4556"/>
    <n v="4533"/>
    <n v="4127"/>
    <s v="267.1831636428833"/>
    <n v="267.18316364288302"/>
  </r>
  <r>
    <s v="pi-12-1000-1000-001.kna"/>
    <x v="0"/>
    <n v="5"/>
    <n v="4556"/>
    <n v="4540"/>
    <n v="4400"/>
    <s v="332.2588703632355"/>
    <n v="332.25887036323502"/>
  </r>
  <r>
    <s v="pi-12-1000-1000-001.kna"/>
    <x v="1"/>
    <n v="1"/>
    <n v="4556"/>
    <n v="4521"/>
    <n v="4241"/>
    <s v="26.69176745414734"/>
    <n v="26.6917674541473"/>
  </r>
  <r>
    <s v="pi-12-1000-1000-001.kna"/>
    <x v="1"/>
    <n v="10"/>
    <n v="4556"/>
    <n v="4544"/>
    <n v="4362"/>
    <s v="24.015660285949707"/>
    <n v="24.0156602859497"/>
  </r>
  <r>
    <s v="pi-12-1000-1000-001.kna"/>
    <x v="1"/>
    <n v="15"/>
    <n v="4556"/>
    <n v="4517"/>
    <n v="4279"/>
    <s v="27.432199716567997"/>
    <n v="27.432199716567901"/>
  </r>
  <r>
    <s v="pi-12-1000-1000-001.kna"/>
    <x v="1"/>
    <n v="20"/>
    <n v="4556"/>
    <n v="4549"/>
    <n v="3975"/>
    <s v="29.74497103691101"/>
    <n v="29.744971036911"/>
  </r>
  <r>
    <s v="pi-12-1000-1000-001.kna"/>
    <x v="1"/>
    <n v="5"/>
    <n v="4556"/>
    <n v="4532"/>
    <n v="4476"/>
    <s v="24.386036157608032"/>
    <n v="24.386036157608"/>
  </r>
  <r>
    <s v="pi-12-1000-1000-001.kna"/>
    <x v="2"/>
    <n v="1"/>
    <n v="4556"/>
    <n v="4528"/>
    <n v="4514"/>
    <s v="2.2105422019958496"/>
    <n v="2.2105422019958398"/>
  </r>
  <r>
    <s v="pi-12-1000-1000-001.kna"/>
    <x v="2"/>
    <n v="10"/>
    <n v="4556"/>
    <n v="4552"/>
    <n v="4286"/>
    <s v="2.273202419281006"/>
    <n v="2.2732024192810001"/>
  </r>
  <r>
    <s v="pi-12-1000-1000-001.kna"/>
    <x v="2"/>
    <n v="15"/>
    <n v="4556"/>
    <n v="4497"/>
    <n v="4469"/>
    <s v="2.735210418701172"/>
    <n v="2.7352104187011701"/>
  </r>
  <r>
    <s v="pi-12-1000-1000-001.kna"/>
    <x v="2"/>
    <n v="20"/>
    <n v="4556"/>
    <n v="4545"/>
    <n v="4013"/>
    <s v="2.079288959503174"/>
    <n v="2.0792889595031698"/>
  </r>
  <r>
    <s v="pi-12-1000-1000-001.kna"/>
    <x v="2"/>
    <n v="5"/>
    <n v="4556"/>
    <n v="4537"/>
    <n v="4089"/>
    <s v="1.95346999168396"/>
    <n v="1.95346999168396"/>
  </r>
  <r>
    <s v="pi-12-1000-1000-001.kna"/>
    <x v="3"/>
    <n v="1"/>
    <n v="4556"/>
    <n v="4532"/>
    <n v="4476"/>
    <s v="0.2186875343322754"/>
    <n v="0.218687534332275"/>
  </r>
  <r>
    <s v="pi-12-1000-1000-001.kna"/>
    <x v="3"/>
    <n v="10"/>
    <n v="4556"/>
    <n v="4528"/>
    <n v="4514"/>
    <s v="0.2182381153106689"/>
    <n v="0.218238115310668"/>
  </r>
  <r>
    <s v="pi-12-1000-1000-001.kna"/>
    <x v="3"/>
    <n v="15"/>
    <n v="4556"/>
    <n v="4528"/>
    <n v="4514"/>
    <s v="0.2766904830932617"/>
    <n v="0.276690483093261"/>
  </r>
  <r>
    <s v="pi-12-1000-1000-001.kna"/>
    <x v="3"/>
    <n v="20"/>
    <n v="4556"/>
    <n v="4528"/>
    <n v="4514"/>
    <s v="0.2378828525543213"/>
    <n v="0.23788285255432101"/>
  </r>
  <r>
    <s v="pi-12-1000-1000-001.kna"/>
    <x v="3"/>
    <n v="5"/>
    <n v="4556"/>
    <n v="4528"/>
    <n v="4514"/>
    <s v="0.2913706302642822"/>
    <n v="0.291370630264282"/>
  </r>
  <r>
    <s v="pi-12-1000-1000-001.kna"/>
    <x v="4"/>
    <n v="1"/>
    <n v="4556"/>
    <n v="4540"/>
    <n v="4400"/>
    <s v="0.0210342407226562"/>
    <n v="2.1034240722656201E-2"/>
  </r>
  <r>
    <s v="pi-12-1000-1000-001.kna"/>
    <x v="4"/>
    <n v="10"/>
    <n v="4556"/>
    <n v="4528"/>
    <n v="4514"/>
    <s v="0.0302066802978515"/>
    <n v="3.02066802978515E-2"/>
  </r>
  <r>
    <s v="pi-12-1000-1000-001.kna"/>
    <x v="4"/>
    <n v="15"/>
    <n v="4556"/>
    <n v="4540"/>
    <n v="4400"/>
    <s v="0.0280330181121826"/>
    <n v="2.80330181121826E-2"/>
  </r>
  <r>
    <s v="pi-12-1000-1000-001.kna"/>
    <x v="4"/>
    <n v="20"/>
    <n v="4556"/>
    <n v="4528"/>
    <n v="4514"/>
    <s v="0.0311417579650878"/>
    <n v="3.11417579650878E-2"/>
  </r>
  <r>
    <s v="pi-12-1000-1000-001.kna"/>
    <x v="4"/>
    <n v="5"/>
    <n v="4556"/>
    <n v="4532"/>
    <n v="4476"/>
    <s v="0.0260205268859863"/>
    <n v="2.60205268859863E-2"/>
  </r>
  <r>
    <s v="pi-12-1000-1000-001.kna"/>
    <x v="5"/>
    <n v="1"/>
    <n v="4556"/>
    <n v="4502"/>
    <n v="4082"/>
    <s v="149.51319432258606"/>
    <n v="149.513194322586"/>
  </r>
  <r>
    <s v="pi-12-1000-1000-001.kna"/>
    <x v="5"/>
    <n v="10"/>
    <n v="4556"/>
    <n v="4533"/>
    <n v="4127"/>
    <s v="117.74605417251588"/>
    <n v="117.746054172515"/>
  </r>
  <r>
    <s v="pi-12-1000-1000-001.kna"/>
    <x v="5"/>
    <n v="15"/>
    <n v="4556"/>
    <n v="4532"/>
    <n v="4476"/>
    <s v="127.34297037124634"/>
    <n v="127.342970371246"/>
  </r>
  <r>
    <s v="pi-12-1000-1000-001.kna"/>
    <x v="5"/>
    <n v="20"/>
    <n v="4556"/>
    <n v="4528"/>
    <n v="4514"/>
    <s v="132.48358607292175"/>
    <n v="132.48358607292101"/>
  </r>
  <r>
    <s v="pi-12-1000-1000-001.kna"/>
    <x v="5"/>
    <n v="5"/>
    <n v="4556"/>
    <n v="4533"/>
    <n v="4127"/>
    <s v="130.34318709373474"/>
    <n v="130.343187093734"/>
  </r>
  <r>
    <s v="pi-12-1000-1000-001.kna"/>
    <x v="6"/>
    <n v="1"/>
    <n v="4556"/>
    <n v="4556"/>
    <n v="4248"/>
    <s v="10.025272369384766"/>
    <n v="10.0252723693847"/>
  </r>
  <r>
    <s v="pi-12-1000-1000-001.kna"/>
    <x v="6"/>
    <n v="10"/>
    <n v="4556"/>
    <n v="4497"/>
    <n v="4469"/>
    <s v="14.63386583328247"/>
    <n v="14.6338658332824"/>
  </r>
  <r>
    <s v="pi-12-1000-1000-001.kna"/>
    <x v="6"/>
    <n v="15"/>
    <n v="4556"/>
    <n v="4541"/>
    <n v="4051"/>
    <s v="11.29798698425293"/>
    <n v="11.297986984252899"/>
  </r>
  <r>
    <s v="pi-12-1000-1000-001.kna"/>
    <x v="6"/>
    <n v="20"/>
    <n v="4556"/>
    <n v="4533"/>
    <n v="4127"/>
    <s v="11.255826711654665"/>
    <n v="11.255826711654599"/>
  </r>
  <r>
    <s v="pi-12-1000-1000-001.kna"/>
    <x v="6"/>
    <n v="5"/>
    <n v="4556"/>
    <n v="4532"/>
    <n v="4476"/>
    <s v="12.47083592414856"/>
    <n v="12.470835924148499"/>
  </r>
  <r>
    <s v="pi-12-1000-1000-001.kna"/>
    <x v="7"/>
    <n v="1"/>
    <n v="4556"/>
    <n v="4540"/>
    <n v="4400"/>
    <s v="1.0353460311889648"/>
    <n v="1.03534603118896"/>
  </r>
  <r>
    <s v="pi-12-1000-1000-001.kna"/>
    <x v="7"/>
    <n v="10"/>
    <n v="4556"/>
    <n v="4528"/>
    <n v="4514"/>
    <s v="1.2026267051696775"/>
    <n v="1.20262670516967"/>
  </r>
  <r>
    <s v="pi-12-1000-1000-001.kna"/>
    <x v="7"/>
    <n v="15"/>
    <n v="4556"/>
    <n v="4528"/>
    <n v="4514"/>
    <s v="1.0795416831970217"/>
    <n v="1.0795416831970199"/>
  </r>
  <r>
    <s v="pi-12-1000-1000-001.kna"/>
    <x v="7"/>
    <n v="20"/>
    <n v="4556"/>
    <n v="4528"/>
    <n v="4514"/>
    <s v="1.3187153339385986"/>
    <n v="1.31871533393859"/>
  </r>
  <r>
    <s v="pi-12-1000-1000-001.kna"/>
    <x v="7"/>
    <n v="5"/>
    <n v="4556"/>
    <n v="4497"/>
    <n v="4469"/>
    <s v="1.2598962783813477"/>
    <n v="1.2598962783813401"/>
  </r>
  <r>
    <s v="pi-12-1000-1000-001.kna"/>
    <x v="8"/>
    <n v="1"/>
    <n v="4556"/>
    <n v="4532"/>
    <n v="4476"/>
    <s v="0.11668062210083"/>
    <n v="0.11668062210082999"/>
  </r>
  <r>
    <s v="pi-12-1000-1000-001.kna"/>
    <x v="8"/>
    <n v="10"/>
    <n v="4556"/>
    <n v="4544"/>
    <n v="4362"/>
    <s v="0.1127166748046875"/>
    <n v="0.112716674804687"/>
  </r>
  <r>
    <s v="pi-12-1000-1000-001.kna"/>
    <x v="8"/>
    <n v="15"/>
    <n v="4556"/>
    <n v="4532"/>
    <n v="4476"/>
    <s v="0.1071124076843261"/>
    <n v="0.10711240768432601"/>
  </r>
  <r>
    <s v="pi-12-1000-1000-001.kna"/>
    <x v="8"/>
    <n v="20"/>
    <n v="4556"/>
    <n v="4528"/>
    <n v="4514"/>
    <s v="0.1321973800659179"/>
    <n v="0.132197380065917"/>
  </r>
  <r>
    <s v="pi-12-1000-1000-001.kna"/>
    <x v="8"/>
    <n v="5"/>
    <n v="4556"/>
    <n v="4528"/>
    <n v="4514"/>
    <s v="0.1184883117675781"/>
    <n v="0.118488311767578"/>
  </r>
  <r>
    <s v="pi-12-1000-1000-001.kna"/>
    <x v="9"/>
    <n v="1"/>
    <n v="4556"/>
    <n v="4532"/>
    <n v="4476"/>
    <s v="0.0100011825561523"/>
    <n v="1.00011825561523E-2"/>
  </r>
  <r>
    <s v="pi-12-1000-1000-001.kna"/>
    <x v="9"/>
    <n v="10"/>
    <n v="4556"/>
    <n v="4528"/>
    <n v="4514"/>
    <s v="0.0145032405853271"/>
    <n v="1.45032405853271E-2"/>
  </r>
  <r>
    <s v="pi-12-1000-1000-001.kna"/>
    <x v="9"/>
    <n v="15"/>
    <n v="4556"/>
    <n v="4528"/>
    <n v="4514"/>
    <s v="0.0119996070861816"/>
    <n v="1.1999607086181601E-2"/>
  </r>
  <r>
    <s v="pi-12-1000-1000-001.kna"/>
    <x v="9"/>
    <n v="20"/>
    <n v="4556"/>
    <n v="4528"/>
    <n v="4514"/>
    <s v="0.0169992446899414"/>
    <n v="1.6999244689941399E-2"/>
  </r>
  <r>
    <s v="pi-12-1000-1000-001.kna"/>
    <x v="9"/>
    <n v="5"/>
    <n v="4556"/>
    <n v="4532"/>
    <n v="4476"/>
    <s v="0.0120341777801513"/>
    <n v="1.20341777801513E-2"/>
  </r>
  <r>
    <s v="pi-13-1000-1000-001.kna"/>
    <x v="0"/>
    <n v="1"/>
    <n v="3177"/>
    <n v="3164"/>
    <n v="4524"/>
    <s v="213.026136636734"/>
    <n v="213.02613663673401"/>
  </r>
  <r>
    <s v="pi-13-1000-1000-001.kna"/>
    <x v="0"/>
    <n v="10"/>
    <n v="3177"/>
    <n v="3170"/>
    <n v="4290"/>
    <s v="259.6795561313629"/>
    <n v="259.67955613136201"/>
  </r>
  <r>
    <s v="pi-13-1000-1000-001.kna"/>
    <x v="0"/>
    <n v="15"/>
    <n v="3177"/>
    <n v="3162"/>
    <n v="4602"/>
    <s v="260.35935616493225"/>
    <n v="260.35935616493202"/>
  </r>
  <r>
    <s v="pi-13-1000-1000-001.kna"/>
    <x v="0"/>
    <n v="20"/>
    <n v="3177"/>
    <n v="3162"/>
    <n v="4602"/>
    <s v="268.4213345050812"/>
    <n v="268.42133450508101"/>
  </r>
  <r>
    <s v="pi-13-1000-1000-001.kna"/>
    <x v="0"/>
    <n v="5"/>
    <n v="3177"/>
    <n v="3172"/>
    <n v="4212"/>
    <s v="239.14586734771729"/>
    <n v="239.145867347717"/>
  </r>
  <r>
    <s v="pi-13-1000-1000-001.kna"/>
    <x v="1"/>
    <n v="1"/>
    <n v="3177"/>
    <n v="3174"/>
    <n v="4134"/>
    <s v="25.41683888435364"/>
    <n v="25.416838884353599"/>
  </r>
  <r>
    <s v="pi-13-1000-1000-001.kna"/>
    <x v="1"/>
    <n v="10"/>
    <n v="3177"/>
    <n v="3173"/>
    <n v="4953"/>
    <s v="25.507731199264526"/>
    <n v="25.507731199264501"/>
  </r>
  <r>
    <s v="pi-13-1000-1000-001.kna"/>
    <x v="1"/>
    <n v="15"/>
    <n v="3177"/>
    <n v="3164"/>
    <n v="4524"/>
    <s v="24.171571731567383"/>
    <n v="24.171571731567301"/>
  </r>
  <r>
    <s v="pi-13-1000-1000-001.kna"/>
    <x v="1"/>
    <n v="20"/>
    <n v="3177"/>
    <n v="3162"/>
    <n v="4602"/>
    <s v="24.58322811126709"/>
    <n v="24.583228111267001"/>
  </r>
  <r>
    <s v="pi-13-1000-1000-001.kna"/>
    <x v="1"/>
    <n v="5"/>
    <n v="3177"/>
    <n v="3160"/>
    <n v="4680"/>
    <s v="29.87107563018799"/>
    <n v="29.871075630187899"/>
  </r>
  <r>
    <s v="pi-13-1000-1000-001.kna"/>
    <x v="2"/>
    <n v="1"/>
    <n v="3177"/>
    <n v="3162"/>
    <n v="4602"/>
    <s v="2.506472110748291"/>
    <n v="2.5064721107482901"/>
  </r>
  <r>
    <s v="pi-13-1000-1000-001.kna"/>
    <x v="2"/>
    <n v="10"/>
    <n v="3177"/>
    <n v="3168"/>
    <n v="4368"/>
    <s v="2.1455841064453125"/>
    <n v="2.1455841064453098"/>
  </r>
  <r>
    <s v="pi-13-1000-1000-001.kna"/>
    <x v="2"/>
    <n v="15"/>
    <n v="3177"/>
    <n v="3164"/>
    <n v="4524"/>
    <s v="2.508488416671753"/>
    <n v="2.5084884166717498"/>
  </r>
  <r>
    <s v="pi-13-1000-1000-001.kna"/>
    <x v="2"/>
    <n v="20"/>
    <n v="3177"/>
    <n v="3162"/>
    <n v="4602"/>
    <s v="2.609340190887451"/>
    <n v="2.6093401908874498"/>
  </r>
  <r>
    <s v="pi-13-1000-1000-001.kna"/>
    <x v="2"/>
    <n v="5"/>
    <n v="3177"/>
    <n v="3164"/>
    <n v="4524"/>
    <s v="2.311819553375244"/>
    <n v="2.3118195533752401"/>
  </r>
  <r>
    <s v="pi-13-1000-1000-001.kna"/>
    <x v="3"/>
    <n v="1"/>
    <n v="3177"/>
    <n v="3169"/>
    <n v="5109"/>
    <s v="0.2347142696380615"/>
    <n v="0.234714269638061"/>
  </r>
  <r>
    <s v="pi-13-1000-1000-001.kna"/>
    <x v="3"/>
    <n v="10"/>
    <n v="3177"/>
    <n v="3162"/>
    <n v="4602"/>
    <s v="0.2636470794677734"/>
    <n v="0.26364707946777299"/>
  </r>
  <r>
    <s v="pi-13-1000-1000-001.kna"/>
    <x v="3"/>
    <n v="15"/>
    <n v="3177"/>
    <n v="3175"/>
    <n v="4875"/>
    <s v="0.2306275367736816"/>
    <n v="0.230627536773681"/>
  </r>
  <r>
    <s v="pi-13-1000-1000-001.kna"/>
    <x v="3"/>
    <n v="20"/>
    <n v="3177"/>
    <n v="3171"/>
    <n v="5031"/>
    <s v="0.2509124279022217"/>
    <n v="0.25091242790222101"/>
  </r>
  <r>
    <s v="pi-13-1000-1000-001.kna"/>
    <x v="3"/>
    <n v="5"/>
    <n v="3177"/>
    <n v="3160"/>
    <n v="4680"/>
    <s v="0.2347674369812011"/>
    <n v="0.23476743698120101"/>
  </r>
  <r>
    <s v="pi-13-1000-1000-001.kna"/>
    <x v="4"/>
    <n v="1"/>
    <n v="3177"/>
    <n v="3175"/>
    <n v="4875"/>
    <s v="0.0279996395111084"/>
    <n v="2.7999639511108398E-2"/>
  </r>
  <r>
    <s v="pi-13-1000-1000-001.kna"/>
    <x v="4"/>
    <n v="10"/>
    <n v="3177"/>
    <n v="3162"/>
    <n v="4602"/>
    <s v="0.0239753723144531"/>
    <n v="2.3975372314453101E-2"/>
  </r>
  <r>
    <s v="pi-13-1000-1000-001.kna"/>
    <x v="4"/>
    <n v="15"/>
    <n v="3177"/>
    <n v="3171"/>
    <n v="5031"/>
    <s v="0.0299999713897705"/>
    <n v="2.9999971389770501E-2"/>
  </r>
  <r>
    <s v="pi-13-1000-1000-001.kna"/>
    <x v="4"/>
    <n v="20"/>
    <n v="3177"/>
    <n v="3171"/>
    <n v="5031"/>
    <s v="0.0240423679351806"/>
    <n v="2.4042367935180602E-2"/>
  </r>
  <r>
    <s v="pi-13-1000-1000-001.kna"/>
    <x v="4"/>
    <n v="5"/>
    <n v="3177"/>
    <n v="3169"/>
    <n v="5109"/>
    <s v="0.0290296077728271"/>
    <n v="2.90296077728271E-2"/>
  </r>
  <r>
    <s v="pi-13-1000-1000-001.kna"/>
    <x v="5"/>
    <n v="1"/>
    <n v="3177"/>
    <n v="3177"/>
    <n v="4797"/>
    <s v="99.01526808738708"/>
    <n v="99.015268087387"/>
  </r>
  <r>
    <s v="pi-13-1000-1000-001.kna"/>
    <x v="5"/>
    <n v="10"/>
    <n v="3177"/>
    <n v="3162"/>
    <n v="4602"/>
    <s v="143.12851238250732"/>
    <n v="143.12851238250701"/>
  </r>
  <r>
    <s v="pi-13-1000-1000-001.kna"/>
    <x v="5"/>
    <n v="15"/>
    <n v="3177"/>
    <n v="3174"/>
    <n v="4134"/>
    <s v="151.14641952514648"/>
    <n v="151.146419525146"/>
  </r>
  <r>
    <s v="pi-13-1000-1000-001.kna"/>
    <x v="5"/>
    <n v="20"/>
    <n v="3177"/>
    <n v="3162"/>
    <n v="4602"/>
    <s v="125.42586922645567"/>
    <n v="125.42586922645501"/>
  </r>
  <r>
    <s v="pi-13-1000-1000-001.kna"/>
    <x v="5"/>
    <n v="5"/>
    <n v="3177"/>
    <n v="3162"/>
    <n v="4602"/>
    <s v="133.3496572971344"/>
    <n v="133.349657297134"/>
  </r>
  <r>
    <s v="pi-13-1000-1000-001.kna"/>
    <x v="6"/>
    <n v="1"/>
    <n v="3177"/>
    <n v="3170"/>
    <n v="4290"/>
    <s v="11.113141298294067"/>
    <n v="11.113141298294"/>
  </r>
  <r>
    <s v="pi-13-1000-1000-001.kna"/>
    <x v="6"/>
    <n v="10"/>
    <n v="3177"/>
    <n v="3171"/>
    <n v="5031"/>
    <s v="11.99353551864624"/>
    <n v="11.993535518646199"/>
  </r>
  <r>
    <s v="pi-13-1000-1000-001.kna"/>
    <x v="6"/>
    <n v="15"/>
    <n v="3177"/>
    <n v="3168"/>
    <n v="4368"/>
    <s v="15.071959257125854"/>
    <n v="15.071959257125799"/>
  </r>
  <r>
    <s v="pi-13-1000-1000-001.kna"/>
    <x v="6"/>
    <n v="20"/>
    <n v="3177"/>
    <n v="3162"/>
    <n v="4602"/>
    <s v="13.135695457458496"/>
    <n v="13.1356954574584"/>
  </r>
  <r>
    <s v="pi-13-1000-1000-001.kna"/>
    <x v="6"/>
    <n v="5"/>
    <n v="3177"/>
    <n v="3166"/>
    <n v="4446"/>
    <s v="11.11534833908081"/>
    <n v="11.1153483390808"/>
  </r>
  <r>
    <s v="pi-13-1000-1000-001.kna"/>
    <x v="7"/>
    <n v="1"/>
    <n v="3177"/>
    <n v="3177"/>
    <n v="4797"/>
    <s v="1.2119309902191162"/>
    <n v="1.21193099021911"/>
  </r>
  <r>
    <s v="pi-13-1000-1000-001.kna"/>
    <x v="7"/>
    <n v="10"/>
    <n v="3177"/>
    <n v="3173"/>
    <n v="4953"/>
    <s v="1.4484531879425049"/>
    <n v="1.4484531879425"/>
  </r>
  <r>
    <s v="pi-13-1000-1000-001.kna"/>
    <x v="7"/>
    <n v="15"/>
    <n v="3177"/>
    <n v="3160"/>
    <n v="4680"/>
    <s v="1.2206552028656006"/>
    <n v="1.2206552028655999"/>
  </r>
  <r>
    <s v="pi-13-1000-1000-001.kna"/>
    <x v="7"/>
    <n v="20"/>
    <n v="3177"/>
    <n v="3177"/>
    <n v="4797"/>
    <s v="1.21797513961792"/>
    <n v="1.2179751396179199"/>
  </r>
  <r>
    <s v="pi-13-1000-1000-001.kna"/>
    <x v="7"/>
    <n v="5"/>
    <n v="3177"/>
    <n v="3177"/>
    <n v="4797"/>
    <s v="1.3949222564697266"/>
    <n v="1.3949222564697199"/>
  </r>
  <r>
    <s v="pi-13-1000-1000-001.kna"/>
    <x v="8"/>
    <n v="1"/>
    <n v="3177"/>
    <n v="3160"/>
    <n v="4680"/>
    <s v="0.1075139045715332"/>
    <n v="0.10751390457153299"/>
  </r>
  <r>
    <s v="pi-13-1000-1000-001.kna"/>
    <x v="8"/>
    <n v="10"/>
    <n v="3177"/>
    <n v="3175"/>
    <n v="4875"/>
    <s v="0.121551513671875"/>
    <n v="0.121551513671875"/>
  </r>
  <r>
    <s v="pi-13-1000-1000-001.kna"/>
    <x v="8"/>
    <n v="15"/>
    <n v="3177"/>
    <n v="3173"/>
    <n v="4953"/>
    <s v="0.1361401081085205"/>
    <n v="0.13614010810852001"/>
  </r>
  <r>
    <s v="pi-13-1000-1000-001.kna"/>
    <x v="8"/>
    <n v="20"/>
    <n v="3177"/>
    <n v="3171"/>
    <n v="5031"/>
    <s v="0.1275420188903808"/>
    <n v="0.12754201889038"/>
  </r>
  <r>
    <s v="pi-13-1000-1000-001.kna"/>
    <x v="8"/>
    <n v="5"/>
    <n v="3177"/>
    <n v="3171"/>
    <n v="5031"/>
    <s v="0.1210343837738037"/>
    <n v="0.121034383773803"/>
  </r>
  <r>
    <s v="pi-13-1000-1000-001.kna"/>
    <x v="9"/>
    <n v="1"/>
    <n v="3177"/>
    <n v="3177"/>
    <n v="4797"/>
    <s v="0.011998176574707"/>
    <n v="1.1998176574707E-2"/>
  </r>
  <r>
    <s v="pi-13-1000-1000-001.kna"/>
    <x v="9"/>
    <n v="10"/>
    <n v="3177"/>
    <n v="3173"/>
    <n v="4953"/>
    <s v="0.0150332450866699"/>
    <n v="1.5033245086669899E-2"/>
  </r>
  <r>
    <s v="pi-13-1000-1000-001.kna"/>
    <x v="9"/>
    <n v="15"/>
    <n v="3177"/>
    <n v="3169"/>
    <n v="5109"/>
    <s v="0.0170750617980957"/>
    <n v="1.70750617980957E-2"/>
  </r>
  <r>
    <s v="pi-13-1000-1000-001.kna"/>
    <x v="9"/>
    <n v="20"/>
    <n v="3177"/>
    <n v="3175"/>
    <n v="4875"/>
    <s v="0.0139977931976318"/>
    <n v="1.39977931976318E-2"/>
  </r>
  <r>
    <s v="pi-13-1000-1000-001.kna"/>
    <x v="9"/>
    <n v="5"/>
    <n v="3177"/>
    <n v="3175"/>
    <n v="4875"/>
    <s v="0.0130348205566406"/>
    <n v="1.3034820556640601E-2"/>
  </r>
  <r>
    <s v="pi-15-1000-1000-001.kna"/>
    <x v="0"/>
    <n v="1"/>
    <n v="4816"/>
    <n v="4816"/>
    <n v="4833"/>
    <s v="227.7282886505127"/>
    <n v="227.72828865051201"/>
  </r>
  <r>
    <s v="pi-15-1000-1000-001.kna"/>
    <x v="0"/>
    <n v="10"/>
    <n v="4816"/>
    <n v="4815"/>
    <n v="4824"/>
    <s v="341.4854979515076"/>
    <n v="341.485497951507"/>
  </r>
  <r>
    <s v="pi-15-1000-1000-001.kna"/>
    <x v="0"/>
    <n v="15"/>
    <n v="4816"/>
    <n v="4816"/>
    <n v="4833"/>
    <s v="263.7018060684204"/>
    <n v="263.70180606842001"/>
  </r>
  <r>
    <s v="pi-15-1000-1000-001.kna"/>
    <x v="0"/>
    <n v="20"/>
    <n v="4816"/>
    <n v="4816"/>
    <n v="4830"/>
    <s v="294.6463952064514"/>
    <n v="294.64639520645102"/>
  </r>
  <r>
    <s v="pi-15-1000-1000-001.kna"/>
    <x v="0"/>
    <n v="5"/>
    <n v="4816"/>
    <n v="4816"/>
    <n v="4827"/>
    <s v="244.3339388370514"/>
    <n v="244.33393883705099"/>
  </r>
  <r>
    <s v="pi-15-1000-1000-001.kna"/>
    <x v="1"/>
    <n v="1"/>
    <n v="4816"/>
    <n v="4816"/>
    <n v="4830"/>
    <s v="20.38657593727112"/>
    <n v="20.3865759372711"/>
  </r>
  <r>
    <s v="pi-15-1000-1000-001.kna"/>
    <x v="1"/>
    <n v="10"/>
    <n v="4816"/>
    <n v="4816"/>
    <n v="4833"/>
    <s v="25.40337872505188"/>
    <n v="25.403378725051802"/>
  </r>
  <r>
    <s v="pi-15-1000-1000-001.kna"/>
    <x v="1"/>
    <n v="15"/>
    <n v="4816"/>
    <n v="4816"/>
    <n v="4836"/>
    <s v="25.668397426605225"/>
    <n v="25.6683974266052"/>
  </r>
  <r>
    <s v="pi-15-1000-1000-001.kna"/>
    <x v="1"/>
    <n v="20"/>
    <n v="4816"/>
    <n v="4816"/>
    <n v="4827"/>
    <s v="27.80883264541626"/>
    <n v="27.808832645416199"/>
  </r>
  <r>
    <s v="pi-15-1000-1000-001.kna"/>
    <x v="1"/>
    <n v="5"/>
    <n v="4816"/>
    <n v="4815"/>
    <n v="4830"/>
    <s v="24.41773009300232"/>
    <n v="24.417730093002302"/>
  </r>
  <r>
    <s v="pi-15-1000-1000-001.kna"/>
    <x v="2"/>
    <n v="1"/>
    <n v="4816"/>
    <n v="4816"/>
    <n v="4830"/>
    <s v="2.6115612983703613"/>
    <n v="2.61156129837036"/>
  </r>
  <r>
    <s v="pi-15-1000-1000-001.kna"/>
    <x v="2"/>
    <n v="10"/>
    <n v="4816"/>
    <n v="4816"/>
    <n v="4827"/>
    <s v="2.9723904132843018"/>
    <n v="2.9723904132843"/>
  </r>
  <r>
    <s v="pi-15-1000-1000-001.kna"/>
    <x v="2"/>
    <n v="15"/>
    <n v="4816"/>
    <n v="4816"/>
    <n v="4824"/>
    <s v="2.526063919067383"/>
    <n v="2.5260639190673801"/>
  </r>
  <r>
    <s v="pi-15-1000-1000-001.kna"/>
    <x v="2"/>
    <n v="20"/>
    <n v="4816"/>
    <n v="4816"/>
    <n v="4833"/>
    <s v="2.4684243202209477"/>
    <n v="2.4684243202209402"/>
  </r>
  <r>
    <s v="pi-15-1000-1000-001.kna"/>
    <x v="2"/>
    <n v="5"/>
    <n v="4816"/>
    <n v="4816"/>
    <n v="4836"/>
    <s v="1.8215749263763428"/>
    <n v="1.8215749263763401"/>
  </r>
  <r>
    <s v="pi-15-1000-1000-001.kna"/>
    <x v="3"/>
    <n v="1"/>
    <n v="4816"/>
    <n v="4816"/>
    <n v="4833"/>
    <s v="0.1886141300201416"/>
    <n v="0.18861413002014099"/>
  </r>
  <r>
    <s v="pi-15-1000-1000-001.kna"/>
    <x v="3"/>
    <n v="10"/>
    <n v="4816"/>
    <n v="4815"/>
    <n v="4836"/>
    <s v="0.3489022254943847"/>
    <n v="0.34890222549438399"/>
  </r>
  <r>
    <s v="pi-15-1000-1000-001.kna"/>
    <x v="3"/>
    <n v="15"/>
    <n v="4816"/>
    <n v="4816"/>
    <n v="4833"/>
    <s v="0.2129874229431152"/>
    <n v="0.21298742294311501"/>
  </r>
  <r>
    <s v="pi-15-1000-1000-001.kna"/>
    <x v="3"/>
    <n v="20"/>
    <n v="4816"/>
    <n v="4816"/>
    <n v="4833"/>
    <s v="0.3501574993133545"/>
    <n v="0.35015749931335399"/>
  </r>
  <r>
    <s v="pi-15-1000-1000-001.kna"/>
    <x v="3"/>
    <n v="5"/>
    <n v="4816"/>
    <n v="4816"/>
    <n v="4839"/>
    <s v="0.2411801815032959"/>
    <n v="0.24118018150329501"/>
  </r>
  <r>
    <s v="pi-15-1000-1000-001.kna"/>
    <x v="4"/>
    <n v="1"/>
    <n v="4816"/>
    <n v="4816"/>
    <n v="4833"/>
    <s v="0.0170037746429443"/>
    <n v="1.7003774642944301E-2"/>
  </r>
  <r>
    <s v="pi-15-1000-1000-001.kna"/>
    <x v="4"/>
    <n v="10"/>
    <n v="4816"/>
    <n v="4816"/>
    <n v="4836"/>
    <s v="0.0200045108795166"/>
    <n v="2.0004510879516602E-2"/>
  </r>
  <r>
    <s v="pi-15-1000-1000-001.kna"/>
    <x v="4"/>
    <n v="15"/>
    <n v="4816"/>
    <n v="4816"/>
    <n v="4836"/>
    <s v="0.0230307579040527"/>
    <n v="2.30307579040527E-2"/>
  </r>
  <r>
    <s v="pi-15-1000-1000-001.kna"/>
    <x v="4"/>
    <n v="20"/>
    <n v="4816"/>
    <n v="4815"/>
    <n v="4833"/>
    <s v="0.0281732082366943"/>
    <n v="2.8173208236694301E-2"/>
  </r>
  <r>
    <s v="pi-15-1000-1000-001.kna"/>
    <x v="4"/>
    <n v="5"/>
    <n v="4816"/>
    <n v="4816"/>
    <n v="4839"/>
    <s v="0.019033670425415"/>
    <n v="1.9033670425415001E-2"/>
  </r>
  <r>
    <s v="pi-15-1000-1000-001.kna"/>
    <x v="5"/>
    <n v="1"/>
    <n v="4816"/>
    <n v="4815"/>
    <n v="4830"/>
    <s v="101.434401512146"/>
    <n v="101.434401512146"/>
  </r>
  <r>
    <s v="pi-15-1000-1000-001.kna"/>
    <x v="5"/>
    <n v="10"/>
    <n v="4816"/>
    <n v="4816"/>
    <n v="4830"/>
    <s v="115.94899344444276"/>
    <n v="115.948993444442"/>
  </r>
  <r>
    <s v="pi-15-1000-1000-001.kna"/>
    <x v="5"/>
    <n v="15"/>
    <n v="4816"/>
    <n v="4816"/>
    <n v="4827"/>
    <s v="128.1132607460022"/>
    <n v="128.113260746002"/>
  </r>
  <r>
    <s v="pi-15-1000-1000-001.kna"/>
    <x v="5"/>
    <n v="20"/>
    <n v="4816"/>
    <n v="4816"/>
    <n v="4836"/>
    <s v="124.58623385429382"/>
    <n v="124.586233854293"/>
  </r>
  <r>
    <s v="pi-15-1000-1000-001.kna"/>
    <x v="5"/>
    <n v="5"/>
    <n v="4816"/>
    <n v="4816"/>
    <n v="4830"/>
    <s v="137.05603766441345"/>
    <n v="137.056037664413"/>
  </r>
  <r>
    <s v="pi-15-1000-1000-001.kna"/>
    <x v="6"/>
    <n v="1"/>
    <n v="4816"/>
    <n v="4816"/>
    <n v="4827"/>
    <s v="11.530519962310793"/>
    <n v="11.5305199623107"/>
  </r>
  <r>
    <s v="pi-15-1000-1000-001.kna"/>
    <x v="6"/>
    <n v="10"/>
    <n v="4816"/>
    <n v="4816"/>
    <n v="4833"/>
    <s v="12.14569878578186"/>
    <n v="12.1456987857818"/>
  </r>
  <r>
    <s v="pi-15-1000-1000-001.kna"/>
    <x v="6"/>
    <n v="15"/>
    <n v="4816"/>
    <n v="4816"/>
    <n v="4824"/>
    <s v="17.230950832366943"/>
    <n v="17.230950832366901"/>
  </r>
  <r>
    <s v="pi-15-1000-1000-001.kna"/>
    <x v="6"/>
    <n v="20"/>
    <n v="4816"/>
    <n v="4816"/>
    <n v="4827"/>
    <s v="15.844626665115356"/>
    <n v="15.8446266651153"/>
  </r>
  <r>
    <s v="pi-15-1000-1000-001.kna"/>
    <x v="6"/>
    <n v="5"/>
    <n v="4816"/>
    <n v="4816"/>
    <n v="4830"/>
    <s v="17.263623476028442"/>
    <n v="17.2636234760284"/>
  </r>
  <r>
    <s v="pi-15-1000-1000-001.kna"/>
    <x v="7"/>
    <n v="1"/>
    <n v="4816"/>
    <n v="4816"/>
    <n v="4833"/>
    <s v="1.0108113288879397"/>
    <n v="1.0108113288879299"/>
  </r>
  <r>
    <s v="pi-15-1000-1000-001.kna"/>
    <x v="7"/>
    <n v="10"/>
    <n v="4816"/>
    <n v="4816"/>
    <n v="4836"/>
    <s v="0.988297700881958"/>
    <n v="0.98829770088195801"/>
  </r>
  <r>
    <s v="pi-15-1000-1000-001.kna"/>
    <x v="7"/>
    <n v="15"/>
    <n v="4816"/>
    <n v="4816"/>
    <n v="4836"/>
    <s v="1.2748703956604004"/>
    <n v="1.2748703956603999"/>
  </r>
  <r>
    <s v="pi-15-1000-1000-001.kna"/>
    <x v="7"/>
    <n v="20"/>
    <n v="4816"/>
    <n v="4816"/>
    <n v="4836"/>
    <s v="1.4366395473480225"/>
    <n v="1.43663954734802"/>
  </r>
  <r>
    <s v="pi-15-1000-1000-001.kna"/>
    <x v="7"/>
    <n v="5"/>
    <n v="4816"/>
    <n v="4816"/>
    <n v="4833"/>
    <s v="1.150205135345459"/>
    <n v="1.1502051353454501"/>
  </r>
  <r>
    <s v="pi-15-1000-1000-001.kna"/>
    <x v="8"/>
    <n v="1"/>
    <n v="4816"/>
    <n v="4816"/>
    <n v="4836"/>
    <s v="0.1106271743774414"/>
    <n v="0.110627174377441"/>
  </r>
  <r>
    <s v="pi-15-1000-1000-001.kna"/>
    <x v="8"/>
    <n v="10"/>
    <n v="4816"/>
    <n v="4816"/>
    <n v="4830"/>
    <s v="0.2231812477111816"/>
    <n v="0.223181247711181"/>
  </r>
  <r>
    <s v="pi-15-1000-1000-001.kna"/>
    <x v="8"/>
    <n v="15"/>
    <n v="4816"/>
    <n v="4816"/>
    <n v="4836"/>
    <s v="0.1492323875427246"/>
    <n v="0.149232387542724"/>
  </r>
  <r>
    <s v="pi-15-1000-1000-001.kna"/>
    <x v="8"/>
    <n v="20"/>
    <n v="4816"/>
    <n v="4816"/>
    <n v="4833"/>
    <s v="0.119863748550415"/>
    <n v="0.119863748550415"/>
  </r>
  <r>
    <s v="pi-15-1000-1000-001.kna"/>
    <x v="8"/>
    <n v="5"/>
    <n v="4816"/>
    <n v="4815"/>
    <n v="4836"/>
    <s v="0.1017398834228515"/>
    <n v="0.10173988342285099"/>
  </r>
  <r>
    <s v="pi-15-1000-1000-001.kna"/>
    <x v="9"/>
    <n v="1"/>
    <n v="4816"/>
    <n v="4816"/>
    <n v="4836"/>
    <s v="0.0110001564025878"/>
    <n v="1.10001564025878E-2"/>
  </r>
  <r>
    <s v="pi-15-1000-1000-001.kna"/>
    <x v="9"/>
    <n v="10"/>
    <n v="4816"/>
    <n v="4816"/>
    <n v="4833"/>
    <s v="0.0169970989227294"/>
    <n v="1.6997098922729399E-2"/>
  </r>
  <r>
    <s v="pi-15-1000-1000-001.kna"/>
    <x v="9"/>
    <n v="15"/>
    <n v="4816"/>
    <n v="4816"/>
    <n v="4833"/>
    <s v="0.0110001564025878"/>
    <n v="1.10001564025878E-2"/>
  </r>
  <r>
    <s v="pi-15-1000-1000-001.kna"/>
    <x v="9"/>
    <n v="20"/>
    <n v="4816"/>
    <n v="4816"/>
    <n v="4833"/>
    <s v="0.0100941658020019"/>
    <n v="1.0094165802001899E-2"/>
  </r>
  <r>
    <s v="pi-15-1000-1000-001.kna"/>
    <x v="9"/>
    <n v="5"/>
    <n v="4816"/>
    <n v="4816"/>
    <n v="4830"/>
    <s v="0.0091185569763183"/>
    <n v="9.1185569763183004E-3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pi-12-10000-1000-001.kna"/>
    <x v="0"/>
    <n v="1"/>
    <n v="45132"/>
    <n v="45120"/>
    <n v="41228"/>
    <s v="5738.094025611877"/>
    <n v="5738.0940256118702"/>
  </r>
  <r>
    <s v="pi-12-10000-1000-001.kna"/>
    <x v="0"/>
    <n v="10"/>
    <n v="45132"/>
    <n v="45115"/>
    <n v="41615"/>
    <s v="7653.211806535721"/>
    <n v="7653.2118065357199"/>
  </r>
  <r>
    <s v="pi-12-10000-1000-001.kna"/>
    <x v="0"/>
    <n v="15"/>
    <n v="45132"/>
    <n v="45126"/>
    <n v="41850"/>
    <s v="6830.527006626129"/>
    <n v="6830.5270066261201"/>
  </r>
  <r>
    <s v="pi-12-10000-1000-001.kna"/>
    <x v="0"/>
    <n v="20"/>
    <n v="45132"/>
    <n v="45103"/>
    <n v="41729"/>
    <s v="7537.880444049835"/>
    <n v="7537.8804440498297"/>
  </r>
  <r>
    <s v="pi-12-10000-1000-001.kna"/>
    <x v="0"/>
    <n v="5"/>
    <n v="45132"/>
    <n v="45103"/>
    <n v="41729"/>
    <s v="7088.749817371368"/>
    <n v="7088.7498173713602"/>
  </r>
  <r>
    <s v="pi-12-10000-1000-001.kna"/>
    <x v="1"/>
    <n v="1"/>
    <n v="45132"/>
    <n v="45102"/>
    <n v="42078"/>
    <s v="533.9750549793243"/>
    <n v="533.975054979324"/>
  </r>
  <r>
    <s v="pi-12-10000-1000-001.kna"/>
    <x v="1"/>
    <n v="10"/>
    <n v="45132"/>
    <n v="45106"/>
    <n v="42040"/>
    <s v="563.5456118583679"/>
    <n v="563.54561185836701"/>
  </r>
  <r>
    <s v="pi-12-10000-1000-001.kna"/>
    <x v="1"/>
    <n v="15"/>
    <n v="45132"/>
    <n v="45120"/>
    <n v="41228"/>
    <s v="620.3323047161102"/>
    <n v="620.33230471611"/>
  </r>
  <r>
    <s v="pi-12-10000-1000-001.kna"/>
    <x v="1"/>
    <n v="20"/>
    <n v="45132"/>
    <n v="45122"/>
    <n v="40530"/>
    <s v="628.8284616470337"/>
    <n v="628.82846164703301"/>
  </r>
  <r>
    <s v="pi-12-10000-1000-001.kna"/>
    <x v="1"/>
    <n v="5"/>
    <n v="45132"/>
    <n v="45118"/>
    <n v="41926"/>
    <s v="557.2385892868042"/>
    <n v="557.23858928680397"/>
  </r>
  <r>
    <s v="pi-12-10000-1000-001.kna"/>
    <x v="2"/>
    <n v="1"/>
    <n v="45132"/>
    <n v="45126"/>
    <n v="41850"/>
    <s v="54.79172444343567"/>
    <n v="54.791724443435598"/>
  </r>
  <r>
    <s v="pi-12-10000-1000-001.kna"/>
    <x v="2"/>
    <n v="10"/>
    <n v="45132"/>
    <n v="45104"/>
    <n v="41380"/>
    <s v="61.28079438209534"/>
    <n v="61.280794382095301"/>
  </r>
  <r>
    <s v="pi-12-10000-1000-001.kna"/>
    <x v="2"/>
    <n v="15"/>
    <n v="45132"/>
    <n v="45110"/>
    <n v="42002"/>
    <s v="55.409912109375"/>
    <n v="55.409912109375"/>
  </r>
  <r>
    <s v="pi-12-10000-1000-001.kna"/>
    <x v="2"/>
    <n v="20"/>
    <n v="45132"/>
    <n v="45129"/>
    <n v="42161"/>
    <s v="59.22460675239563"/>
    <n v="59.224606752395601"/>
  </r>
  <r>
    <s v="pi-12-10000-1000-001.kna"/>
    <x v="2"/>
    <n v="5"/>
    <n v="45132"/>
    <n v="45132"/>
    <n v="41114"/>
    <s v="58.187979221344"/>
    <n v="58.187979221344001"/>
  </r>
  <r>
    <s v="pi-12-10000-1000-001.kna"/>
    <x v="3"/>
    <n v="1"/>
    <n v="45132"/>
    <n v="45106"/>
    <n v="42040"/>
    <s v="5.3021111488342285"/>
    <n v="5.3021111488342196"/>
  </r>
  <r>
    <s v="pi-12-10000-1000-001.kna"/>
    <x v="3"/>
    <n v="10"/>
    <n v="45132"/>
    <n v="45106"/>
    <n v="42040"/>
    <s v="5.992893695831299"/>
    <n v="5.9928936958312899"/>
  </r>
  <r>
    <s v="pi-12-10000-1000-001.kna"/>
    <x v="3"/>
    <n v="15"/>
    <n v="45132"/>
    <n v="45114"/>
    <n v="41964"/>
    <s v="6.048568487167358"/>
    <n v="6.0485684871673504"/>
  </r>
  <r>
    <s v="pi-12-10000-1000-001.kna"/>
    <x v="3"/>
    <n v="20"/>
    <n v="45132"/>
    <n v="45122"/>
    <n v="41888"/>
    <s v="5.862293243408203"/>
    <n v="5.8622932434081996"/>
  </r>
  <r>
    <s v="pi-12-10000-1000-001.kna"/>
    <x v="3"/>
    <n v="5"/>
    <n v="45132"/>
    <n v="45125"/>
    <n v="42199"/>
    <s v="5.147351264953613"/>
    <n v="5.1473512649536097"/>
  </r>
  <r>
    <s v="pi-12-10000-1000-001.kna"/>
    <x v="4"/>
    <n v="1"/>
    <n v="45132"/>
    <n v="45130"/>
    <n v="41812"/>
    <s v="0.5519740581512451"/>
    <n v="0.55197405815124501"/>
  </r>
  <r>
    <s v="pi-12-10000-1000-001.kna"/>
    <x v="4"/>
    <n v="10"/>
    <n v="45132"/>
    <n v="45118"/>
    <n v="41926"/>
    <s v="0.4981842041015625"/>
    <n v="0.498184204101562"/>
  </r>
  <r>
    <s v="pi-12-10000-1000-001.kna"/>
    <x v="4"/>
    <n v="15"/>
    <n v="45132"/>
    <n v="45118"/>
    <n v="41926"/>
    <s v="0.590895414352417"/>
    <n v="0.59089541435241699"/>
  </r>
  <r>
    <s v="pi-12-10000-1000-001.kna"/>
    <x v="4"/>
    <n v="20"/>
    <n v="45132"/>
    <n v="45121"/>
    <n v="42237"/>
    <s v="0.6637496948242188"/>
    <n v="0.66374969482421797"/>
  </r>
  <r>
    <s v="pi-12-10000-1000-001.kna"/>
    <x v="4"/>
    <n v="5"/>
    <n v="45132"/>
    <n v="45127"/>
    <n v="42859"/>
    <s v="0.5609545707702637"/>
    <n v="0.56095457077026301"/>
  </r>
  <r>
    <s v="pi-12-10000-1000-001.kna"/>
    <x v="5"/>
    <n v="1"/>
    <n v="45132"/>
    <n v="45117"/>
    <n v="40917"/>
    <s v="3163.23525929451"/>
    <n v="3163.2352592945099"/>
  </r>
  <r>
    <s v="pi-12-10000-1000-001.kna"/>
    <x v="5"/>
    <n v="10"/>
    <n v="45132"/>
    <n v="45118"/>
    <n v="40568"/>
    <s v="2884.574019908905"/>
    <n v="2884.5740199089"/>
  </r>
  <r>
    <s v="pi-12-10000-1000-001.kna"/>
    <x v="5"/>
    <n v="15"/>
    <n v="45132"/>
    <n v="45128"/>
    <n v="41152"/>
    <s v="2891.4313554763794"/>
    <n v="2891.4313554763698"/>
  </r>
  <r>
    <s v="pi-12-10000-1000-001.kna"/>
    <x v="5"/>
    <n v="20"/>
    <n v="45132"/>
    <n v="45127"/>
    <n v="41501"/>
    <s v="3018.802525997162"/>
    <n v="3018.80252599716"/>
  </r>
  <r>
    <s v="pi-12-10000-1000-001.kna"/>
    <x v="5"/>
    <n v="5"/>
    <n v="45132"/>
    <n v="45103"/>
    <n v="41729"/>
    <s v="2712.3925931453705"/>
    <n v="2712.39259314537"/>
  </r>
  <r>
    <s v="pi-12-10000-1000-001.kna"/>
    <x v="6"/>
    <n v="1"/>
    <n v="45132"/>
    <n v="45105"/>
    <n v="42389"/>
    <s v="257.00438022613525"/>
    <n v="257.00438022613503"/>
  </r>
  <r>
    <s v="pi-12-10000-1000-001.kna"/>
    <x v="6"/>
    <n v="10"/>
    <n v="45132"/>
    <n v="45119"/>
    <n v="41577"/>
    <s v="280.2061367034912"/>
    <n v="280.20613670349098"/>
  </r>
  <r>
    <s v="pi-12-10000-1000-001.kna"/>
    <x v="6"/>
    <n v="15"/>
    <n v="45132"/>
    <n v="45100"/>
    <n v="41418"/>
    <s v="341.36445689201355"/>
    <n v="341.36445689201298"/>
  </r>
  <r>
    <s v="pi-12-10000-1000-001.kna"/>
    <x v="6"/>
    <n v="20"/>
    <n v="45132"/>
    <n v="45130"/>
    <n v="41812"/>
    <s v="303.13228058815"/>
    <n v="303.13228058815002"/>
  </r>
  <r>
    <s v="pi-12-10000-1000-001.kna"/>
    <x v="6"/>
    <n v="5"/>
    <n v="45132"/>
    <n v="45105"/>
    <n v="41031"/>
    <s v="277.54034185409546"/>
    <n v="277.540341854095"/>
  </r>
  <r>
    <s v="pi-12-10000-1000-001.kna"/>
    <x v="7"/>
    <n v="1"/>
    <n v="45132"/>
    <n v="45109"/>
    <n v="42351"/>
    <s v="25.89445281028748"/>
    <n v="25.894452810287401"/>
  </r>
  <r>
    <s v="pi-12-10000-1000-001.kna"/>
    <x v="7"/>
    <n v="10"/>
    <n v="45132"/>
    <n v="45117"/>
    <n v="42275"/>
    <s v="29.249302864074707"/>
    <n v="29.2493028640747"/>
  </r>
  <r>
    <s v="pi-12-10000-1000-001.kna"/>
    <x v="7"/>
    <n v="15"/>
    <n v="45132"/>
    <n v="45114"/>
    <n v="41964"/>
    <s v="28.646522521972656"/>
    <n v="28.646522521972599"/>
  </r>
  <r>
    <s v="pi-12-10000-1000-001.kna"/>
    <x v="7"/>
    <n v="20"/>
    <n v="45132"/>
    <n v="45125"/>
    <n v="42199"/>
    <s v="27.12929654121399"/>
    <n v="27.1292965412139"/>
  </r>
  <r>
    <s v="pi-12-10000-1000-001.kna"/>
    <x v="7"/>
    <n v="5"/>
    <n v="45132"/>
    <n v="45129"/>
    <n v="42161"/>
    <s v="29.749037742614743"/>
    <n v="29.7490377426147"/>
  </r>
  <r>
    <s v="pi-12-10000-1000-001.kna"/>
    <x v="8"/>
    <n v="1"/>
    <n v="45132"/>
    <n v="45117"/>
    <n v="42275"/>
    <s v="2.634922504425049"/>
    <n v="2.6349225044250399"/>
  </r>
  <r>
    <s v="pi-12-10000-1000-001.kna"/>
    <x v="8"/>
    <n v="10"/>
    <n v="45132"/>
    <n v="45120"/>
    <n v="42586"/>
    <s v="2.9378015995025635"/>
    <n v="2.9378015995025599"/>
  </r>
  <r>
    <s v="pi-12-10000-1000-001.kna"/>
    <x v="8"/>
    <n v="15"/>
    <n v="45132"/>
    <n v="45114"/>
    <n v="41964"/>
    <s v="2.9676554203033447"/>
    <n v="2.9676554203033398"/>
  </r>
  <r>
    <s v="pi-12-10000-1000-001.kna"/>
    <x v="8"/>
    <n v="20"/>
    <n v="45132"/>
    <n v="45122"/>
    <n v="41888"/>
    <s v="3.1270980834960938"/>
    <n v="3.1270980834960902"/>
  </r>
  <r>
    <s v="pi-12-10000-1000-001.kna"/>
    <x v="8"/>
    <n v="5"/>
    <n v="45132"/>
    <n v="45132"/>
    <n v="42472"/>
    <s v="2.71567440032959"/>
    <n v="2.7156744003295898"/>
  </r>
  <r>
    <s v="pi-12-10000-1000-001.kna"/>
    <x v="9"/>
    <n v="1"/>
    <n v="45132"/>
    <n v="45106"/>
    <n v="42040"/>
    <s v="0.298372745513916"/>
    <n v="0.29837274551391602"/>
  </r>
  <r>
    <s v="pi-12-10000-1000-001.kna"/>
    <x v="9"/>
    <n v="10"/>
    <n v="45132"/>
    <n v="45130"/>
    <n v="41812"/>
    <s v="0.342052698135376"/>
    <n v="0.34205269813537598"/>
  </r>
  <r>
    <s v="pi-12-10000-1000-001.kna"/>
    <x v="9"/>
    <n v="15"/>
    <n v="45132"/>
    <n v="45126"/>
    <n v="41850"/>
    <s v="0.2614855766296386"/>
    <n v="0.26148557662963801"/>
  </r>
  <r>
    <s v="pi-12-10000-1000-001.kna"/>
    <x v="9"/>
    <n v="20"/>
    <n v="45132"/>
    <n v="45130"/>
    <n v="41812"/>
    <s v="0.325502872467041"/>
    <n v="0.32550287246704102"/>
  </r>
  <r>
    <s v="pi-12-10000-1000-001.kna"/>
    <x v="9"/>
    <n v="5"/>
    <n v="45132"/>
    <n v="45102"/>
    <n v="42078"/>
    <s v="0.2799134254455566"/>
    <n v="0.27991342544555597"/>
  </r>
  <r>
    <s v="pi-13-10000-1000-001.kna"/>
    <x v="0"/>
    <n v="1"/>
    <n v="31234"/>
    <n v="31232"/>
    <n v="42432"/>
    <s v="7317.583475112915"/>
    <n v="7317.5834751129096"/>
  </r>
  <r>
    <s v="pi-13-10000-1000-001.kna"/>
    <x v="0"/>
    <n v="10"/>
    <n v="31234"/>
    <n v="31224"/>
    <n v="42744"/>
    <s v="7089.716221094132"/>
    <n v="7089.7162210941297"/>
  </r>
  <r>
    <s v="pi-13-10000-1000-001.kna"/>
    <x v="0"/>
    <n v="15"/>
    <n v="31234"/>
    <n v="31225"/>
    <n v="43485"/>
    <s v="6459.673049449921"/>
    <n v="6459.6730494499197"/>
  </r>
  <r>
    <s v="pi-13-10000-1000-001.kna"/>
    <x v="0"/>
    <n v="20"/>
    <n v="31234"/>
    <n v="31227"/>
    <n v="41847"/>
    <s v="5772.634913444519"/>
    <n v="5772.6349134445099"/>
  </r>
  <r>
    <s v="pi-13-10000-1000-001.kna"/>
    <x v="0"/>
    <n v="5"/>
    <n v="31234"/>
    <n v="31219"/>
    <n v="42159"/>
    <s v="6836.742493391037"/>
    <n v="6836.7424933910297"/>
  </r>
  <r>
    <s v="pi-13-10000-1000-001.kna"/>
    <x v="1"/>
    <n v="1"/>
    <n v="31234"/>
    <n v="31228"/>
    <n v="41028"/>
    <s v="704.9747333526611"/>
    <n v="704.97473335266102"/>
  </r>
  <r>
    <s v="pi-13-10000-1000-001.kna"/>
    <x v="1"/>
    <n v="10"/>
    <n v="31234"/>
    <n v="31231"/>
    <n v="41691"/>
    <s v="770.735677242279"/>
    <n v="770.73567724227905"/>
  </r>
  <r>
    <s v="pi-13-10000-1000-001.kna"/>
    <x v="1"/>
    <n v="15"/>
    <n v="31234"/>
    <n v="31217"/>
    <n v="42237"/>
    <s v="777.5544002056122"/>
    <n v="777.55440020561196"/>
  </r>
  <r>
    <s v="pi-13-10000-1000-001.kna"/>
    <x v="1"/>
    <n v="20"/>
    <n v="31234"/>
    <n v="31224"/>
    <n v="42744"/>
    <s v="790.6745600700378"/>
    <n v="790.67456007003705"/>
  </r>
  <r>
    <s v="pi-13-10000-1000-001.kna"/>
    <x v="1"/>
    <n v="5"/>
    <n v="31234"/>
    <n v="31228"/>
    <n v="42588"/>
    <s v="756.2787163257599"/>
    <n v="756.27871632575898"/>
  </r>
  <r>
    <s v="pi-13-10000-1000-001.kna"/>
    <x v="2"/>
    <n v="1"/>
    <n v="31234"/>
    <n v="31229"/>
    <n v="41769"/>
    <s v="74.28240203857422"/>
    <n v="74.282402038574205"/>
  </r>
  <r>
    <s v="pi-13-10000-1000-001.kna"/>
    <x v="2"/>
    <n v="10"/>
    <n v="31234"/>
    <n v="31218"/>
    <n v="41418"/>
    <s v="74.06153678894043"/>
    <n v="74.061536788940401"/>
  </r>
  <r>
    <s v="pi-13-10000-1000-001.kna"/>
    <x v="2"/>
    <n v="15"/>
    <n v="31234"/>
    <n v="31216"/>
    <n v="43056"/>
    <s v="84.32954454421997"/>
    <n v="84.3295445442199"/>
  </r>
  <r>
    <s v="pi-13-10000-1000-001.kna"/>
    <x v="2"/>
    <n v="20"/>
    <n v="31234"/>
    <n v="31233"/>
    <n v="43173"/>
    <s v="88.49369502067566"/>
    <n v="88.493695020675602"/>
  </r>
  <r>
    <s v="pi-13-10000-1000-001.kna"/>
    <x v="2"/>
    <n v="5"/>
    <n v="31234"/>
    <n v="31219"/>
    <n v="42159"/>
    <s v="77.48275971412659"/>
    <n v="77.482759714126502"/>
  </r>
  <r>
    <s v="pi-13-10000-1000-001.kna"/>
    <x v="3"/>
    <n v="1"/>
    <n v="31234"/>
    <n v="31234"/>
    <n v="43914"/>
    <s v="9.344316244125366"/>
    <n v="9.3443162441253609"/>
  </r>
  <r>
    <s v="pi-13-10000-1000-001.kna"/>
    <x v="3"/>
    <n v="10"/>
    <n v="31234"/>
    <n v="31223"/>
    <n v="43563"/>
    <s v="8.810430765151978"/>
    <n v="8.8104307651519704"/>
  </r>
  <r>
    <s v="pi-13-10000-1000-001.kna"/>
    <x v="3"/>
    <n v="15"/>
    <n v="31234"/>
    <n v="31229"/>
    <n v="43329"/>
    <s v="8.557037353515625"/>
    <n v="8.5570373535156197"/>
  </r>
  <r>
    <s v="pi-13-10000-1000-001.kna"/>
    <x v="3"/>
    <n v="20"/>
    <n v="31234"/>
    <n v="31229"/>
    <n v="43329"/>
    <s v="8.35903525352478"/>
    <n v="8.3590352535247803"/>
  </r>
  <r>
    <s v="pi-13-10000-1000-001.kna"/>
    <x v="3"/>
    <n v="5"/>
    <n v="31234"/>
    <n v="31221"/>
    <n v="43641"/>
    <s v="8.51914095878601"/>
    <n v="8.5191409587860107"/>
  </r>
  <r>
    <s v="pi-13-10000-1000-001.kna"/>
    <x v="4"/>
    <n v="1"/>
    <n v="31234"/>
    <n v="31229"/>
    <n v="43329"/>
    <s v="0.6626560688018799"/>
    <n v="0.66265606880187899"/>
  </r>
  <r>
    <s v="pi-13-10000-1000-001.kna"/>
    <x v="4"/>
    <n v="10"/>
    <n v="31234"/>
    <n v="31231"/>
    <n v="43251"/>
    <s v="1.188072681427002"/>
    <n v="1.188072681427"/>
  </r>
  <r>
    <s v="pi-13-10000-1000-001.kna"/>
    <x v="4"/>
    <n v="15"/>
    <n v="31234"/>
    <n v="31218"/>
    <n v="42978"/>
    <s v="0.8627476692199707"/>
    <n v="0.86274766921997004"/>
  </r>
  <r>
    <s v="pi-13-10000-1000-001.kna"/>
    <x v="4"/>
    <n v="20"/>
    <n v="31234"/>
    <n v="31225"/>
    <n v="43485"/>
    <s v="0.8871831893920898"/>
    <n v="0.88718318939208896"/>
  </r>
  <r>
    <s v="pi-13-10000-1000-001.kna"/>
    <x v="4"/>
    <n v="5"/>
    <n v="31234"/>
    <n v="31232"/>
    <n v="42432"/>
    <s v="0.6553425788879395"/>
    <n v="0.65534257888793901"/>
  </r>
  <r>
    <s v="pi-13-10000-1000-001.kna"/>
    <x v="5"/>
    <n v="1"/>
    <n v="31234"/>
    <n v="31219"/>
    <n v="42159"/>
    <s v="3686.092884778976"/>
    <n v="3686.0928847789701"/>
  </r>
  <r>
    <s v="pi-13-10000-1000-001.kna"/>
    <x v="5"/>
    <n v="10"/>
    <n v="31234"/>
    <n v="31232"/>
    <n v="42432"/>
    <s v="3696.281092405319"/>
    <n v="3696.2810924053101"/>
  </r>
  <r>
    <s v="pi-13-10000-1000-001.kna"/>
    <x v="5"/>
    <n v="15"/>
    <n v="31234"/>
    <n v="31220"/>
    <n v="41340"/>
    <s v="3537.8197259902954"/>
    <n v="3537.81972599029"/>
  </r>
  <r>
    <s v="pi-13-10000-1000-001.kna"/>
    <x v="5"/>
    <n v="20"/>
    <n v="31234"/>
    <n v="31231"/>
    <n v="41691"/>
    <s v="3400.0369436740875"/>
    <n v="3400.0369436740798"/>
  </r>
  <r>
    <s v="pi-13-10000-1000-001.kna"/>
    <x v="5"/>
    <n v="5"/>
    <n v="31234"/>
    <n v="31228"/>
    <n v="41028"/>
    <s v="3410.465027809143"/>
    <n v="3410.4650278091399"/>
  </r>
  <r>
    <s v="pi-13-10000-1000-001.kna"/>
    <x v="6"/>
    <n v="1"/>
    <n v="31234"/>
    <n v="31220"/>
    <n v="41340"/>
    <s v="371.3028197288513"/>
    <n v="371.30281972885098"/>
  </r>
  <r>
    <s v="pi-13-10000-1000-001.kna"/>
    <x v="6"/>
    <n v="10"/>
    <n v="31234"/>
    <n v="31224"/>
    <n v="42744"/>
    <s v="398.2855932712555"/>
    <n v="398.28559327125498"/>
  </r>
  <r>
    <s v="pi-13-10000-1000-001.kna"/>
    <x v="6"/>
    <n v="15"/>
    <n v="31234"/>
    <n v="31227"/>
    <n v="41847"/>
    <s v="403.8746871948242"/>
    <n v="403.87468719482399"/>
  </r>
  <r>
    <s v="pi-13-10000-1000-001.kna"/>
    <x v="6"/>
    <n v="20"/>
    <n v="31234"/>
    <n v="31225"/>
    <n v="41925"/>
    <s v="379.2585010528565"/>
    <n v="379.25850105285599"/>
  </r>
  <r>
    <s v="pi-13-10000-1000-001.kna"/>
    <x v="6"/>
    <n v="5"/>
    <n v="31234"/>
    <n v="31216"/>
    <n v="41496"/>
    <s v="416.6414320468903"/>
    <n v="416.64143204688997"/>
  </r>
  <r>
    <s v="pi-13-10000-1000-001.kna"/>
    <x v="7"/>
    <n v="1"/>
    <n v="31234"/>
    <n v="31232"/>
    <n v="43992"/>
    <s v="43.48854970932007"/>
    <n v="43.488549709319997"/>
  </r>
  <r>
    <s v="pi-13-10000-1000-001.kna"/>
    <x v="7"/>
    <n v="10"/>
    <n v="31234"/>
    <n v="31216"/>
    <n v="43056"/>
    <s v="40.746193408966064"/>
    <n v="40.746193408966001"/>
  </r>
  <r>
    <s v="pi-13-10000-1000-001.kna"/>
    <x v="7"/>
    <n v="15"/>
    <n v="31234"/>
    <n v="31219"/>
    <n v="43719"/>
    <s v="42.4983868598938"/>
    <n v="42.498386859893799"/>
  </r>
  <r>
    <s v="pi-13-10000-1000-001.kna"/>
    <x v="7"/>
    <n v="20"/>
    <n v="31234"/>
    <n v="31228"/>
    <n v="42588"/>
    <s v="42.33315944671631"/>
    <n v="42.333159446716301"/>
  </r>
  <r>
    <s v="pi-13-10000-1000-001.kna"/>
    <x v="7"/>
    <n v="5"/>
    <n v="31234"/>
    <n v="31233"/>
    <n v="43173"/>
    <s v="45.83684015274048"/>
    <n v="45.8368401527404"/>
  </r>
  <r>
    <s v="pi-13-10000-1000-001.kna"/>
    <x v="8"/>
    <n v="1"/>
    <n v="31234"/>
    <n v="31226"/>
    <n v="42666"/>
    <s v="4.82347559928894"/>
    <n v="4.8234755992889404"/>
  </r>
  <r>
    <s v="pi-13-10000-1000-001.kna"/>
    <x v="8"/>
    <n v="10"/>
    <n v="31234"/>
    <n v="31231"/>
    <n v="43251"/>
    <s v="4.351857423782349"/>
    <n v="4.3518574237823398"/>
  </r>
  <r>
    <s v="pi-13-10000-1000-001.kna"/>
    <x v="8"/>
    <n v="15"/>
    <n v="31234"/>
    <n v="31220"/>
    <n v="42900"/>
    <s v="4.540261030197144"/>
    <n v="4.54026103019714"/>
  </r>
  <r>
    <s v="pi-13-10000-1000-001.kna"/>
    <x v="8"/>
    <n v="20"/>
    <n v="31234"/>
    <n v="31222"/>
    <n v="44382"/>
    <s v="4.543091535568237"/>
    <n v="4.5430915355682302"/>
  </r>
  <r>
    <s v="pi-13-10000-1000-001.kna"/>
    <x v="8"/>
    <n v="5"/>
    <n v="31234"/>
    <n v="31227"/>
    <n v="43407"/>
    <s v="4.064315557479858"/>
    <n v="4.0643155574798504"/>
  </r>
  <r>
    <s v="pi-13-10000-1000-001.kna"/>
    <x v="9"/>
    <n v="1"/>
    <n v="31234"/>
    <n v="31216"/>
    <n v="43056"/>
    <s v="0.3296523094177246"/>
    <n v="0.329652309417724"/>
  </r>
  <r>
    <s v="pi-13-10000-1000-001.kna"/>
    <x v="9"/>
    <n v="10"/>
    <n v="31234"/>
    <n v="31224"/>
    <n v="44304"/>
    <s v="0.3835234642028808"/>
    <n v="0.38352346420288003"/>
  </r>
  <r>
    <s v="pi-13-10000-1000-001.kna"/>
    <x v="9"/>
    <n v="15"/>
    <n v="31234"/>
    <n v="31225"/>
    <n v="43485"/>
    <s v="0.3842794895172119"/>
    <n v="0.38427948951721103"/>
  </r>
  <r>
    <s v="pi-13-10000-1000-001.kna"/>
    <x v="9"/>
    <n v="20"/>
    <n v="31234"/>
    <n v="31231"/>
    <n v="43251"/>
    <s v="0.3964076042175293"/>
    <n v="0.39640760421752902"/>
  </r>
  <r>
    <s v="pi-13-10000-1000-001.kna"/>
    <x v="9"/>
    <n v="5"/>
    <n v="31234"/>
    <n v="31222"/>
    <n v="44382"/>
    <s v="0.3780031204223633"/>
    <n v="0.378003120422363"/>
  </r>
  <r>
    <s v="pi-15-10000-1000-001.kna"/>
    <x v="0"/>
    <n v="1"/>
    <n v="49297"/>
    <n v="49297"/>
    <n v="49413"/>
    <s v="5689.2303965091705"/>
    <n v="5689.2303965091696"/>
  </r>
  <r>
    <s v="pi-15-10000-1000-001.kna"/>
    <x v="0"/>
    <n v="10"/>
    <n v="49297"/>
    <n v="49297"/>
    <n v="49410"/>
    <s v="5666.787668466568"/>
    <n v="5666.7876684665598"/>
  </r>
  <r>
    <s v="pi-15-10000-1000-001.kna"/>
    <x v="0"/>
    <n v="15"/>
    <n v="49297"/>
    <n v="49297"/>
    <n v="49389"/>
    <s v="5820.983638763428"/>
    <n v="5820.9836387634195"/>
  </r>
  <r>
    <s v="pi-15-10000-1000-001.kna"/>
    <x v="0"/>
    <n v="20"/>
    <n v="49297"/>
    <n v="49297"/>
    <n v="49419"/>
    <s v="5248.391664028168"/>
    <n v="5248.3916640281604"/>
  </r>
  <r>
    <s v="pi-15-10000-1000-001.kna"/>
    <x v="0"/>
    <n v="5"/>
    <n v="49297"/>
    <n v="49297"/>
    <n v="49386"/>
    <s v="5257.103888750076"/>
    <n v="5257.1038887500699"/>
  </r>
  <r>
    <s v="pi-15-10000-1000-001.kna"/>
    <x v="1"/>
    <n v="1"/>
    <n v="49297"/>
    <n v="49297"/>
    <n v="49419"/>
    <s v="609.6400811672211"/>
    <n v="609.64008116722096"/>
  </r>
  <r>
    <s v="pi-15-10000-1000-001.kna"/>
    <x v="1"/>
    <n v="10"/>
    <n v="49297"/>
    <n v="49297"/>
    <n v="49413"/>
    <s v="588.0355086326599"/>
    <n v="588.035508632659"/>
  </r>
  <r>
    <s v="pi-15-10000-1000-001.kna"/>
    <x v="1"/>
    <n v="15"/>
    <n v="49297"/>
    <n v="49297"/>
    <n v="49410"/>
    <s v="595.7485511302948"/>
    <n v="595.748551130294"/>
  </r>
  <r>
    <s v="pi-15-10000-1000-001.kna"/>
    <x v="1"/>
    <n v="20"/>
    <n v="49297"/>
    <n v="49297"/>
    <n v="49389"/>
    <s v="598.2618598937988"/>
    <n v="598.26185989379803"/>
  </r>
  <r>
    <s v="pi-15-10000-1000-001.kna"/>
    <x v="1"/>
    <n v="5"/>
    <n v="49297"/>
    <n v="49297"/>
    <n v="49389"/>
    <s v="568.5284805297852"/>
    <n v="568.52848052978504"/>
  </r>
  <r>
    <s v="pi-15-10000-1000-001.kna"/>
    <x v="2"/>
    <n v="1"/>
    <n v="49297"/>
    <n v="49297"/>
    <n v="49398"/>
    <s v="59.26984667778015"/>
    <n v="59.269846677780102"/>
  </r>
  <r>
    <s v="pi-15-10000-1000-001.kna"/>
    <x v="2"/>
    <n v="10"/>
    <n v="49297"/>
    <n v="49297"/>
    <n v="49407"/>
    <s v="64.39496159553528"/>
    <n v="64.394961595535193"/>
  </r>
  <r>
    <s v="pi-15-10000-1000-001.kna"/>
    <x v="2"/>
    <n v="15"/>
    <n v="49297"/>
    <n v="49297"/>
    <n v="49410"/>
    <s v="65.12932801246643"/>
    <n v="65.129328012466402"/>
  </r>
  <r>
    <s v="pi-15-10000-1000-001.kna"/>
    <x v="2"/>
    <n v="20"/>
    <n v="49297"/>
    <n v="49297"/>
    <n v="49410"/>
    <s v="68.0477385520935"/>
    <n v="68.047738552093506"/>
  </r>
  <r>
    <s v="pi-15-10000-1000-001.kna"/>
    <x v="2"/>
    <n v="5"/>
    <n v="49297"/>
    <n v="49297"/>
    <n v="49413"/>
    <s v="60.69066095352173"/>
    <n v="60.6906609535217"/>
  </r>
  <r>
    <s v="pi-15-10000-1000-001.kna"/>
    <x v="3"/>
    <n v="1"/>
    <n v="49297"/>
    <n v="49297"/>
    <n v="49410"/>
    <s v="7.0197594165802"/>
    <n v="7.0197594165802002"/>
  </r>
  <r>
    <s v="pi-15-10000-1000-001.kna"/>
    <x v="3"/>
    <n v="10"/>
    <n v="49297"/>
    <n v="49297"/>
    <n v="49422"/>
    <s v="6.242172002792358"/>
    <n v="6.2421720027923504"/>
  </r>
  <r>
    <s v="pi-15-10000-1000-001.kna"/>
    <x v="3"/>
    <n v="15"/>
    <n v="49297"/>
    <n v="49297"/>
    <n v="49425"/>
    <s v="6.192702054977417"/>
    <n v="6.1927020549774099"/>
  </r>
  <r>
    <s v="pi-15-10000-1000-001.kna"/>
    <x v="3"/>
    <n v="20"/>
    <n v="49297"/>
    <n v="49297"/>
    <n v="49413"/>
    <s v="6.592607021331787"/>
    <n v="6.59260702133178"/>
  </r>
  <r>
    <s v="pi-15-10000-1000-001.kna"/>
    <x v="3"/>
    <n v="5"/>
    <n v="49297"/>
    <n v="49297"/>
    <n v="49428"/>
    <s v="6.48587703704834"/>
    <n v="6.4858770370483398"/>
  </r>
  <r>
    <s v="pi-15-10000-1000-001.kna"/>
    <x v="4"/>
    <n v="1"/>
    <n v="49297"/>
    <n v="49297"/>
    <n v="49410"/>
    <s v="0.7182137966156006"/>
    <n v="0.71821379661560003"/>
  </r>
  <r>
    <s v="pi-15-10000-1000-001.kna"/>
    <x v="4"/>
    <n v="10"/>
    <n v="49297"/>
    <n v="49297"/>
    <n v="49425"/>
    <s v="0.6342008113861084"/>
    <n v="0.63420081138610795"/>
  </r>
  <r>
    <s v="pi-15-10000-1000-001.kna"/>
    <x v="4"/>
    <n v="15"/>
    <n v="49297"/>
    <n v="49297"/>
    <n v="49422"/>
    <s v="0.6330959796905518"/>
    <n v="0.63309597969055098"/>
  </r>
  <r>
    <s v="pi-15-10000-1000-001.kna"/>
    <x v="4"/>
    <n v="20"/>
    <n v="49297"/>
    <n v="49297"/>
    <n v="49419"/>
    <s v="0.7108151912689209"/>
    <n v="0.71081519126892001"/>
  </r>
  <r>
    <s v="pi-15-10000-1000-001.kna"/>
    <x v="4"/>
    <n v="5"/>
    <n v="49297"/>
    <n v="49297"/>
    <n v="49425"/>
    <s v="0.7027082443237305"/>
    <n v="0.70270824432373002"/>
  </r>
  <r>
    <s v="pi-15-10000-1000-001.kna"/>
    <x v="5"/>
    <n v="1"/>
    <n v="49297"/>
    <n v="49297"/>
    <n v="49389"/>
    <s v="2900.20512008667"/>
    <n v="2900.2051200866699"/>
  </r>
  <r>
    <s v="pi-15-10000-1000-001.kna"/>
    <x v="5"/>
    <n v="10"/>
    <n v="49297"/>
    <n v="49297"/>
    <n v="49416"/>
    <s v="2761.197968006134"/>
    <n v="2761.1979680061299"/>
  </r>
  <r>
    <s v="pi-15-10000-1000-001.kna"/>
    <x v="5"/>
    <n v="15"/>
    <n v="49297"/>
    <n v="49297"/>
    <n v="49404"/>
    <s v="2766.798421382904"/>
    <n v="2766.7984213829"/>
  </r>
  <r>
    <s v="pi-15-10000-1000-001.kna"/>
    <x v="5"/>
    <n v="20"/>
    <n v="49297"/>
    <n v="49297"/>
    <n v="49404"/>
    <s v="2761.420135498047"/>
    <n v="2761.4201354980401"/>
  </r>
  <r>
    <s v="pi-15-10000-1000-001.kna"/>
    <x v="5"/>
    <n v="5"/>
    <n v="49297"/>
    <n v="49297"/>
    <n v="49395"/>
    <s v="2775.7652156353"/>
    <n v="2775.7652156353001"/>
  </r>
  <r>
    <s v="pi-15-10000-1000-001.kna"/>
    <x v="6"/>
    <n v="1"/>
    <n v="49297"/>
    <n v="49297"/>
    <n v="49416"/>
    <s v="307.9681327342987"/>
    <n v="307.96813273429802"/>
  </r>
  <r>
    <s v="pi-15-10000-1000-001.kna"/>
    <x v="6"/>
    <n v="10"/>
    <n v="49297"/>
    <n v="49297"/>
    <n v="49407"/>
    <s v="316.84601497650146"/>
    <n v="316.84601497650101"/>
  </r>
  <r>
    <s v="pi-15-10000-1000-001.kna"/>
    <x v="6"/>
    <n v="15"/>
    <n v="49297"/>
    <n v="49297"/>
    <n v="49434"/>
    <s v="329.8851556777954"/>
    <n v="329.88515567779501"/>
  </r>
  <r>
    <s v="pi-15-10000-1000-001.kna"/>
    <x v="6"/>
    <n v="20"/>
    <n v="49297"/>
    <n v="49297"/>
    <n v="49401"/>
    <s v="280.48802304267883"/>
    <n v="280.48802304267798"/>
  </r>
  <r>
    <s v="pi-15-10000-1000-001.kna"/>
    <x v="6"/>
    <n v="5"/>
    <n v="49297"/>
    <n v="49297"/>
    <n v="49401"/>
    <s v="311.7370743751526"/>
    <n v="311.73707437515202"/>
  </r>
  <r>
    <s v="pi-15-10000-1000-001.kna"/>
    <x v="7"/>
    <n v="1"/>
    <n v="49297"/>
    <n v="49297"/>
    <n v="49416"/>
    <s v="32.971747398376465"/>
    <n v="32.971747398376401"/>
  </r>
  <r>
    <s v="pi-15-10000-1000-001.kna"/>
    <x v="7"/>
    <n v="10"/>
    <n v="49297"/>
    <n v="49297"/>
    <n v="49434"/>
    <s v="31.39285635948181"/>
    <n v="31.392856359481801"/>
  </r>
  <r>
    <s v="pi-15-10000-1000-001.kna"/>
    <x v="7"/>
    <n v="15"/>
    <n v="49297"/>
    <n v="49297"/>
    <n v="49422"/>
    <s v="30.03437209129333"/>
    <n v="30.034372091293299"/>
  </r>
  <r>
    <s v="pi-15-10000-1000-001.kna"/>
    <x v="7"/>
    <n v="20"/>
    <n v="49297"/>
    <n v="49297"/>
    <n v="49425"/>
    <s v="32.805424213409424"/>
    <n v="32.805424213409403"/>
  </r>
  <r>
    <s v="pi-15-10000-1000-001.kna"/>
    <x v="7"/>
    <n v="5"/>
    <n v="49297"/>
    <n v="49297"/>
    <n v="49425"/>
    <s v="33.2140691280365"/>
    <n v="33.214069128036499"/>
  </r>
  <r>
    <s v="pi-15-10000-1000-001.kna"/>
    <x v="8"/>
    <n v="1"/>
    <n v="49297"/>
    <n v="49297"/>
    <n v="49413"/>
    <s v="2.890088558197021"/>
    <n v="2.8900885581970202"/>
  </r>
  <r>
    <s v="pi-15-10000-1000-001.kna"/>
    <x v="8"/>
    <n v="10"/>
    <n v="49297"/>
    <n v="49297"/>
    <n v="49419"/>
    <s v="4.307091236114502"/>
    <n v="4.3070912361145002"/>
  </r>
  <r>
    <s v="pi-15-10000-1000-001.kna"/>
    <x v="8"/>
    <n v="15"/>
    <n v="49297"/>
    <n v="49297"/>
    <n v="49425"/>
    <s v="3.5035109519958496"/>
    <n v="3.5035109519958398"/>
  </r>
  <r>
    <s v="pi-15-10000-1000-001.kna"/>
    <x v="8"/>
    <n v="20"/>
    <n v="49297"/>
    <n v="49297"/>
    <n v="49419"/>
    <s v="3.687923669815064"/>
    <n v="3.6879236698150599"/>
  </r>
  <r>
    <s v="pi-15-10000-1000-001.kna"/>
    <x v="8"/>
    <n v="5"/>
    <n v="49297"/>
    <n v="49297"/>
    <n v="49425"/>
    <s v="4.436874866485596"/>
    <n v="4.4368748664855904"/>
  </r>
  <r>
    <s v="pi-15-10000-1000-001.kna"/>
    <x v="9"/>
    <n v="1"/>
    <n v="49297"/>
    <n v="49297"/>
    <n v="49425"/>
    <s v="0.4447760581970215"/>
    <n v="0.44477605819702098"/>
  </r>
  <r>
    <s v="pi-15-10000-1000-001.kna"/>
    <x v="9"/>
    <n v="10"/>
    <n v="49297"/>
    <n v="49297"/>
    <n v="49413"/>
    <s v="0.2796275615692138"/>
    <n v="0.27962756156921298"/>
  </r>
  <r>
    <s v="pi-15-10000-1000-001.kna"/>
    <x v="9"/>
    <n v="15"/>
    <n v="49297"/>
    <n v="49297"/>
    <n v="49431"/>
    <s v="0.4231181144714355"/>
    <n v="0.42311811447143499"/>
  </r>
  <r>
    <s v="pi-15-10000-1000-001.kna"/>
    <x v="9"/>
    <n v="20"/>
    <n v="49297"/>
    <n v="49297"/>
    <n v="49425"/>
    <s v="0.3623080253601074"/>
    <n v="0.36230802536010698"/>
  </r>
  <r>
    <s v="pi-15-10000-1000-001.kna"/>
    <x v="9"/>
    <n v="5"/>
    <n v="49297"/>
    <n v="49297"/>
    <n v="49416"/>
    <s v="0.3362154960632324"/>
    <n v="0.33621549606323198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50"/>
    <n v="10"/>
    <n v="31234"/>
    <n v="31225"/>
    <n v="46605"/>
    <s v="0.6477537155151367"/>
    <s v="resultsFinale/item_solutions/pi-13-10000-1000-001.kna_50_10_items.csv"/>
    <n v="44733"/>
  </r>
  <r>
    <x v="1"/>
    <n v="100"/>
    <n v="20"/>
    <n v="3177"/>
    <n v="3172"/>
    <n v="5772"/>
    <s v="0.030320405960083"/>
    <s v="resultsFinale/item_solutions/pi-13-1000-1000-001.kna_100_20_items.csv"/>
    <n v="5421"/>
  </r>
  <r>
    <x v="2"/>
    <n v="5000"/>
    <n v="10"/>
    <n v="49297"/>
    <n v="49297"/>
    <n v="49449"/>
    <s v="45.31674456596375"/>
    <s v="resultsFinale/item_solutions/pi-15-10000-1000-001.kna_5000_10_items.csv"/>
    <n v="494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AD388-CB39-498E-AAF8-C23FDEEDF022}" name="Tableau croisé dynamique4" cacheId="8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4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34F02-CFD7-4DF8-A12A-63E3294D3546}" name="Tableau croisé dynamique3" cacheId="8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34DE0E-72C6-455B-8329-44A432F67343}" name="Tableau croisé dynamique5" cacheId="8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EECA9-8FCB-4847-8091-44DAF2F65CD2}" name="Tableau croisé dynamique6" cacheId="8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1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69E52C-1604-435D-A913-10158F911152}" name="Tableau croisé dynamique4" cacheId="8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01CD0-3B75-41F1-BA4D-80B569D61564}" name="Tableau croisé dynamique3" cacheId="8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F6A12-814D-4D26-B3D4-FFB52D1D4850}" name="Tableau croisé dynamique7" cacheId="8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F1C74C-98DB-4AB6-AFF0-0F76A1D53DB6}" name="Tableau croisé dynamique8" cacheId="8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2BA42-B4F2-4492-9A0D-111DB0E949E0}" name="Tableau croisé dynamique10" cacheId="8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B343E-E961-4DBC-9CC4-93871A1B0269}" name="Tableau croisé dynamique9" cacheId="8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AAC82-97A9-4F7F-9196-F2C708BE191F}" name="Tableau croisé dynamique10" cacheId="8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D8C8ED-165F-4B9D-8F99-E790B4C1D34B}" name="Tableau croisé dynamique9" cacheId="8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77161-4A35-4358-A48B-40BFF2D9F5EE}" name="Tableau croisé dynamique12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19EF3-FDFF-433D-AED0-6727B5C3E8C2}" name="Tableau croisé dynamique11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349E9-CA51-420D-91DD-B1258968F188}" name="Tableau croisé dynamique1" cacheId="8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BAF099-334A-4A0D-8B5E-BC1701692222}" name="Tableau croisé dynamique2" cacheId="8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0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537A97-773D-4B5F-A65C-32F171B1C03D}" name="Tableau croisé dynamique15" cacheId="8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5C2CB4-C6AB-4B82-AF5A-0CB5E46AB316}" name="Tableau croisé dynamique16" cacheId="8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5B9724-A703-4097-B43D-6E21D040E507}" name="Tableau croisé dynamique20" cacheId="89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7">
  <location ref="A25:C27" firstHeaderRow="0" firstDataRow="1" firstDataCol="1"/>
  <pivotFields count="10">
    <pivotField axis="axisRow" showAll="0">
      <items count="8">
        <item h="1" x="1"/>
        <item h="1" x="0"/>
        <item h="1" x="3"/>
        <item h="1" x="2"/>
        <item x="6"/>
        <item h="1" x="5"/>
        <item h="1"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</pivotFields>
  <rowFields count="1">
    <field x="0"/>
  </rowFields>
  <rowItems count="2"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Max. de Total profit" fld="5" subtotal="max" baseField="0" baseItem="0"/>
    <dataField name="Max. de old_max_profit" fld="9" subtotal="max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9436FE-4A44-4397-8B32-AA102C61FC64}" name="Tableau croisé dynamique28" cacheId="10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8:C12" firstHeaderRow="0" firstDataRow="1" firstDataCol="1"/>
  <pivotFields count="9"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ax. de Total profit" fld="5" subtotal="max" baseField="0" baseItem="0"/>
    <dataField name="Max. de pred_profit" fld="8" subtotal="max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141ACD-113F-424A-A2EB-24F0046E4D4B}" name="Tableau croisé dynamique26" cacheId="10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160:B221" firstHeaderRow="1" firstDataRow="1" firstDataCol="1"/>
  <pivotFields count="8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2">
    <field x="1"/>
    <field x="2"/>
  </rowFields>
  <rowItems count="6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69C94-E03E-4C09-9F46-E085C32F4EB4}" name="Tableau croisé dynamique23" cacheId="10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J4:K15" firstHeaderRow="1" firstDataRow="1" firstDataCol="1"/>
  <pivotFields count="8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ps_nb" fld="7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665A2-A4D0-4CA5-9157-AE8E1ECA343B}" name="Tableau croisé dynamique24" cacheId="9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J4:K15" firstHeaderRow="1" firstDataRow="1" firstDataCol="1"/>
  <pivotFields count="8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ps_nb" fld="7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5A9486-9D35-47E2-AEFF-6CA1D0A8D454}" name="Tableau croisé dynamique25" cacheId="10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J4:K15" firstHeaderRow="1" firstDataRow="1" firstDataCol="1"/>
  <pivotFields count="8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ps_nb" fld="7" subtotal="average" baseField="1" baseItem="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87F38757-F955-4731-99D3-DB005FDB8E58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F0199E3C-6A68-4899-91C5-05D49A43BCD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5" xr16:uid="{3A02051A-55DE-4D5B-A413-EA575B382AA4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7" xr16:uid="{22827811-00B7-48FF-B474-617ED8EFA24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8" xr16:uid="{ABE161C7-2CA3-4DFD-8E87-631D96C653E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9" xr16:uid="{5BC67A66-EE1D-423D-9795-25DAF9FAA2D4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0" xr16:uid="{5247CE05-6880-4A30-8241-EA28EA808066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1" xr16:uid="{96013EFF-F9B7-4C34-BB1F-851F65F693E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2" xr16:uid="{6E3C4A20-E090-487B-9662-B61E4CDF4FF1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3" xr16:uid="{7C2305AE-A40A-4BA3-99F6-73166F72870B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  <queryTableField id="10" dataBound="0" tableColumnId="10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14" xr16:uid="{00BFF51F-581C-4A2F-ADAE-F76731564AD8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F747982D-C40B-4411-ACA9-785BF94B386C}" autoFormatId="16" applyNumberFormats="0" applyBorderFormats="0" applyFontFormats="0" applyPatternFormats="0" applyAlignmentFormats="0" applyWidthHeightFormats="0">
  <queryTableRefresh nextId="10" unboundColumnsRight="1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9" dataBound="0" tableColumnId="9"/>
    </queryTableFields>
    <queryTableDeletedFields count="1">
      <deletedField name="Fichier solution"/>
    </queryTableDeleted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DF3568C6-3B05-4679-8AC8-E5016B98C87E}" autoFormatId="16" applyNumberFormats="0" applyBorderFormats="0" applyFontFormats="0" applyPatternFormats="0" applyAlignmentFormats="0" applyWidthHeightFormats="0">
  <queryTableRefresh nextId="10" unboundColumnsRight="1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9" dataBound="0" tableColumnId="9"/>
    </queryTableFields>
    <queryTableDeletedFields count="1">
      <deletedField name="Fichier solution"/>
    </queryTableDeleted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6" xr16:uid="{9430E636-00A1-4F7C-BCDA-A19587E98E24}" autoFormatId="16" applyNumberFormats="0" applyBorderFormats="0" applyFontFormats="0" applyPatternFormats="0" applyAlignmentFormats="0" applyWidthHeightFormats="0">
  <queryTableRefresh nextId="10" unboundColumnsRight="1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9" dataBound="0" tableColumnId="9"/>
    </queryTableFields>
    <queryTableDeletedFields count="1">
      <deletedField name="Fichier solution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6BB232-5F55-413A-8CBF-9AC5F11E58F0}" name="results_0_fusionné" displayName="results_0_fusionné" ref="A1:I51" tableType="queryTable" totalsRowShown="0">
  <autoFilter ref="A1:I51" xr:uid="{896BB232-5F55-413A-8CBF-9AC5F11E58F0}"/>
  <tableColumns count="9">
    <tableColumn id="1" xr3:uid="{44363764-C793-4DC6-95C5-7B6498001AAD}" uniqueName="1" name="Nom de la base" queryTableFieldId="1" dataDxfId="52"/>
    <tableColumn id="2" xr3:uid="{61C0F235-412B-45DB-B9EA-34B9C2A5090C}" uniqueName="2" name="Nombre d'iteration" queryTableFieldId="2"/>
    <tableColumn id="3" xr3:uid="{2E16117A-A49C-4132-832C-F2415B1558DF}" uniqueName="3" name="Taille liste Tabou" queryTableFieldId="3"/>
    <tableColumn id="4" xr3:uid="{57F865D4-CB25-41C7-9DA3-14F4432E7B4C}" uniqueName="4" name="Poids MAx" queryTableFieldId="4"/>
    <tableColumn id="5" xr3:uid="{E78757A6-A00D-4389-9A44-02F6974B77E7}" uniqueName="5" name="Total weight" queryTableFieldId="5"/>
    <tableColumn id="6" xr3:uid="{701CBCF4-3D85-4378-A8A1-73F142B65B26}" uniqueName="6" name="Total profit" queryTableFieldId="6"/>
    <tableColumn id="7" xr3:uid="{D7D66B07-A694-4D72-A4B6-3A3FA18E639F}" uniqueName="7" name="Temps d'execution" queryTableFieldId="7" dataDxfId="51"/>
    <tableColumn id="8" xr3:uid="{8FC33DC5-6611-4CC2-9914-A1C6CB3F4259}" uniqueName="8" name="Fichier solution" queryTableFieldId="8" dataDxfId="50"/>
    <tableColumn id="9" xr3:uid="{8CA69F67-FE4B-4ACA-8461-13BC9068A7BE}" uniqueName="9" name="tps_nb" queryTableFieldId="9" dataDxfId="49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42CE6-7795-4941-85A0-A0934EBC3B43}" name="results_1_fusionné" displayName="results_1_fusionné" ref="A1:I51" tableType="queryTable" totalsRowShown="0">
  <autoFilter ref="A1:I51" xr:uid="{ACE42CE6-7795-4941-85A0-A0934EBC3B43}"/>
  <tableColumns count="9">
    <tableColumn id="1" xr3:uid="{B3D6AF44-0660-415D-90AF-146D9F95F65C}" uniqueName="1" name="Nom de la base" queryTableFieldId="1" dataDxfId="48"/>
    <tableColumn id="2" xr3:uid="{546AA182-C62A-447A-B1DB-04AB5FB79302}" uniqueName="2" name="Nombre d'iteration" queryTableFieldId="2"/>
    <tableColumn id="3" xr3:uid="{D216ABE4-264E-4918-A728-EC24160EAF1E}" uniqueName="3" name="Taille liste Tabou" queryTableFieldId="3"/>
    <tableColumn id="4" xr3:uid="{0B1613F6-42F7-44F1-AC3B-00CE31F69937}" uniqueName="4" name="Poids MAx" queryTableFieldId="4"/>
    <tableColumn id="5" xr3:uid="{C43EEF7C-FE82-468F-B6B5-0FB25B7A072A}" uniqueName="5" name="Total weight" queryTableFieldId="5"/>
    <tableColumn id="6" xr3:uid="{DEA7B582-ACB7-49C7-9FED-7EAA26763FEC}" uniqueName="6" name="Total profit" queryTableFieldId="6"/>
    <tableColumn id="7" xr3:uid="{3576995B-8B89-448A-9E2B-91932EF54102}" uniqueName="7" name="Temps d'execution" queryTableFieldId="7" dataDxfId="47"/>
    <tableColumn id="8" xr3:uid="{3619E1FC-5F40-42C6-BE0D-C5C1777435EB}" uniqueName="8" name="Fichier solution" queryTableFieldId="8" dataDxfId="46"/>
    <tableColumn id="9" xr3:uid="{2DD00761-DA82-4F64-864F-389C4786DE55}" uniqueName="9" name="tps_nb" queryTableFieldId="9" dataDxfId="45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2AC3B0-6ABD-4425-82FE-5F8B1A05951A}" name="results_2_fusionné" displayName="results_2_fusionné" ref="A1:I51" tableType="queryTable" totalsRowShown="0">
  <autoFilter ref="A1:I51" xr:uid="{602AC3B0-6ABD-4425-82FE-5F8B1A05951A}"/>
  <tableColumns count="9">
    <tableColumn id="1" xr3:uid="{C1E00080-2A53-4FB1-9048-11CF66D7B280}" uniqueName="1" name="Nom de la base" queryTableFieldId="1" dataDxfId="44"/>
    <tableColumn id="2" xr3:uid="{C09B4247-3AFE-4BC8-A116-BA0499D4793A}" uniqueName="2" name="Nombre d'iteration" queryTableFieldId="2"/>
    <tableColumn id="3" xr3:uid="{D88C03FE-9A6D-407F-BD9A-CCE1024DDEF3}" uniqueName="3" name="Taille liste Tabou" queryTableFieldId="3"/>
    <tableColumn id="4" xr3:uid="{E0C515FA-3807-4A34-B501-56BA9D340815}" uniqueName="4" name="Poids MAx" queryTableFieldId="4"/>
    <tableColumn id="5" xr3:uid="{4F238B53-978E-464A-9DF9-A79DDFD159B7}" uniqueName="5" name="Total weight" queryTableFieldId="5"/>
    <tableColumn id="6" xr3:uid="{6D3D0D5A-2ABC-48E1-B712-116A904E5735}" uniqueName="6" name="Total profit" queryTableFieldId="6"/>
    <tableColumn id="7" xr3:uid="{C6CC0801-8290-4888-BF9D-3D3E917F2085}" uniqueName="7" name="Temps d'execution" queryTableFieldId="7" dataDxfId="43"/>
    <tableColumn id="8" xr3:uid="{879C8EAE-E4FD-466F-AE00-4DCBEF6F82C7}" uniqueName="8" name="Fichier solution" queryTableFieldId="8" dataDxfId="42"/>
    <tableColumn id="9" xr3:uid="{74BE1149-1BFB-465D-909E-BE5E8DF1B5C5}" uniqueName="9" name="tps_nb" queryTableFieldId="9" dataDxfId="41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75ED-1615-470C-BCEA-BE293E7AC2A1}" name="results_3_fusionné" displayName="results_3_fusionné" ref="A1:I51" tableType="queryTable" totalsRowShown="0">
  <autoFilter ref="A1:I51" xr:uid="{1D3B75ED-1615-470C-BCEA-BE293E7AC2A1}"/>
  <tableColumns count="9">
    <tableColumn id="1" xr3:uid="{BF8F8D46-D512-4D06-9B4C-3762CCD403AA}" uniqueName="1" name="Nom de la base" queryTableFieldId="1" dataDxfId="40"/>
    <tableColumn id="2" xr3:uid="{5E66513A-D3B4-4ED1-AD35-AAD16E38AB4E}" uniqueName="2" name="Nombre d'iteration" queryTableFieldId="2"/>
    <tableColumn id="3" xr3:uid="{B92B262B-51B9-48D0-81E2-CD227F3F354F}" uniqueName="3" name="Taille liste Tabou" queryTableFieldId="3"/>
    <tableColumn id="4" xr3:uid="{E58DFC62-0FA3-4AB8-B8B0-6290ACD43884}" uniqueName="4" name="Poids MAx" queryTableFieldId="4"/>
    <tableColumn id="5" xr3:uid="{E108F85D-2DC0-4464-9BA1-6D0BC6DD4219}" uniqueName="5" name="Total weight" queryTableFieldId="5"/>
    <tableColumn id="6" xr3:uid="{79EC78A7-135D-4339-A1DE-81DB4610939E}" uniqueName="6" name="Total profit" queryTableFieldId="6"/>
    <tableColumn id="7" xr3:uid="{6EEBD61E-EBF3-4E2D-A477-6C4BB9310B66}" uniqueName="7" name="Temps d'execution" queryTableFieldId="7" dataDxfId="39"/>
    <tableColumn id="8" xr3:uid="{20E2D4C1-24D9-420C-982A-D2CEEE18027D}" uniqueName="8" name="Fichier solution" queryTableFieldId="8" dataDxfId="38"/>
    <tableColumn id="9" xr3:uid="{4536AAD0-B8E8-4B7F-B0EC-5BD4065026C5}" uniqueName="9" name="tps_nb" queryTableFieldId="9" dataDxfId="37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BBE3BC-5A03-4FC6-8CE3-D8EFB26519E9}" name="results_4_fusionné" displayName="results_4_fusionné" ref="A1:I51" tableType="queryTable" totalsRowShown="0">
  <autoFilter ref="A1:I51" xr:uid="{FFBBE3BC-5A03-4FC6-8CE3-D8EFB26519E9}"/>
  <tableColumns count="9">
    <tableColumn id="1" xr3:uid="{50CBCBEE-1CAB-488B-A51B-C836FBB26818}" uniqueName="1" name="Nom de la base" queryTableFieldId="1" dataDxfId="36"/>
    <tableColumn id="2" xr3:uid="{6993995D-9C9B-4E10-82D8-39691BD7C872}" uniqueName="2" name="Nombre d'iteration" queryTableFieldId="2"/>
    <tableColumn id="3" xr3:uid="{D6BA4EC8-1D4A-4B80-A86B-D0A4D6B62BF2}" uniqueName="3" name="Taille liste Tabou" queryTableFieldId="3"/>
    <tableColumn id="4" xr3:uid="{C938B85C-E3FC-4A46-B74D-92C017709927}" uniqueName="4" name="Poids MAx" queryTableFieldId="4"/>
    <tableColumn id="5" xr3:uid="{CE751A4B-A77B-40F1-829D-36BE831D1750}" uniqueName="5" name="Total weight" queryTableFieldId="5"/>
    <tableColumn id="6" xr3:uid="{2044D81C-EE1E-4928-A0A8-A0CA2A5CDB32}" uniqueName="6" name="Total profit" queryTableFieldId="6"/>
    <tableColumn id="7" xr3:uid="{BA304D84-D872-4C92-B6BB-C36AC1BD0981}" uniqueName="7" name="Temps d'execution" queryTableFieldId="7" dataDxfId="35"/>
    <tableColumn id="8" xr3:uid="{7C9368D0-CC1D-47AF-8902-E19BDA5E5F16}" uniqueName="8" name="Fichier solution" queryTableFieldId="8" dataDxfId="34"/>
    <tableColumn id="9" xr3:uid="{78E6A639-53C3-47F8-A07A-82D731CE520E}" uniqueName="9" name="tps_nb" queryTableFieldId="9" dataDxfId="33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094752-C47E-4DAB-A527-E1AD49E252E9}" name="results_5_fusionné" displayName="results_5_fusionné" ref="A1:I51" tableType="queryTable" totalsRowShown="0">
  <autoFilter ref="A1:I51" xr:uid="{A1094752-C47E-4DAB-A527-E1AD49E252E9}"/>
  <tableColumns count="9">
    <tableColumn id="1" xr3:uid="{3AD50528-2EA6-49BF-9E5B-C1100A7948FB}" uniqueName="1" name="Nom de la base" queryTableFieldId="1" dataDxfId="32"/>
    <tableColumn id="2" xr3:uid="{AA12008A-9BB3-4CD1-8671-02AB2877C615}" uniqueName="2" name="Nombre d'iteration" queryTableFieldId="2"/>
    <tableColumn id="3" xr3:uid="{3FEA67A8-DEA8-48FF-9F8D-44E1EFBFCE8C}" uniqueName="3" name="Taille liste Tabou" queryTableFieldId="3"/>
    <tableColumn id="4" xr3:uid="{A5494134-14A9-4DA4-845E-D32315763BC9}" uniqueName="4" name="Poids MAx" queryTableFieldId="4"/>
    <tableColumn id="5" xr3:uid="{5085F1DD-504E-44D6-B553-0F42E33021A3}" uniqueName="5" name="Total weight" queryTableFieldId="5"/>
    <tableColumn id="6" xr3:uid="{E05A2C4A-1971-46CE-B4BC-D5982670482A}" uniqueName="6" name="Total profit" queryTableFieldId="6"/>
    <tableColumn id="7" xr3:uid="{2E82367F-6D6C-471B-9217-CF8EDD6E37F4}" uniqueName="7" name="Temps d'execution" queryTableFieldId="7" dataDxfId="31"/>
    <tableColumn id="8" xr3:uid="{3D696BA2-90D9-490A-9336-B047D6B9DEB6}" uniqueName="8" name="Fichier solution" queryTableFieldId="8" dataDxfId="30"/>
    <tableColumn id="9" xr3:uid="{BAEF1030-A50B-4F57-B1F2-D49616B45C63}" uniqueName="9" name="tps_nb" queryTableFieldId="9" dataDxfId="29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81F8D7-27F5-4E3C-B84A-ABC4F7C1C2CB}" name="results_6_fusionné" displayName="results_6_fusionné" ref="A1:I51" tableType="queryTable" totalsRowShown="0">
  <autoFilter ref="A1:I51" xr:uid="{5C81F8D7-27F5-4E3C-B84A-ABC4F7C1C2CB}"/>
  <tableColumns count="9">
    <tableColumn id="1" xr3:uid="{A216AFCF-A872-4971-93D9-12B970020257}" uniqueName="1" name="Nom de la base" queryTableFieldId="1" dataDxfId="28"/>
    <tableColumn id="2" xr3:uid="{A69EC5D9-5A2E-4C11-A612-F7AE40718BDA}" uniqueName="2" name="Nombre d'iteration" queryTableFieldId="2"/>
    <tableColumn id="3" xr3:uid="{C6905E50-8CC3-44D2-A746-194AA30252F6}" uniqueName="3" name="Taille liste Tabou" queryTableFieldId="3"/>
    <tableColumn id="4" xr3:uid="{3BCEB498-A8CE-45D7-A783-280158D57D01}" uniqueName="4" name="Poids MAx" queryTableFieldId="4"/>
    <tableColumn id="5" xr3:uid="{27BE7203-98AD-4C98-B143-6CAE23C026DC}" uniqueName="5" name="Total weight" queryTableFieldId="5"/>
    <tableColumn id="6" xr3:uid="{CB034659-0BF3-40B8-B0A2-498CAF477433}" uniqueName="6" name="Total profit" queryTableFieldId="6"/>
    <tableColumn id="7" xr3:uid="{7150CA3F-2E53-4CD8-8713-DA6786FAE5F7}" uniqueName="7" name="Temps d'execution" queryTableFieldId="7" dataDxfId="27"/>
    <tableColumn id="8" xr3:uid="{9F620017-85AC-46FB-B53A-59E9428097DA}" uniqueName="8" name="Fichier solution" queryTableFieldId="8" dataDxfId="26"/>
    <tableColumn id="9" xr3:uid="{C0D8B92B-C66D-46F9-B3DA-F7888196AC8E}" uniqueName="9" name="tps_nb" queryTableFieldId="9" dataDxfId="25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8B54C9-5C5B-422A-81B4-70153CD4B2DA}" name="results_7_fusionné" displayName="results_7_fusionné" ref="A1:I51" tableType="queryTable" totalsRowShown="0">
  <autoFilter ref="A1:I51" xr:uid="{B98B54C9-5C5B-422A-81B4-70153CD4B2DA}"/>
  <tableColumns count="9">
    <tableColumn id="1" xr3:uid="{78D331C8-FDB6-4B10-9ACC-FA1F7A114FD5}" uniqueName="1" name="Nom de la base" queryTableFieldId="1" dataDxfId="24"/>
    <tableColumn id="2" xr3:uid="{626A3183-F405-43FB-8CDA-711008A7BE39}" uniqueName="2" name="Nombre d'iteration" queryTableFieldId="2"/>
    <tableColumn id="3" xr3:uid="{56B4B64B-F85A-49FF-94F6-676AD75D364F}" uniqueName="3" name="Taille liste Tabou" queryTableFieldId="3"/>
    <tableColumn id="4" xr3:uid="{A8F8AC96-A4DE-441C-9A7A-75466C605433}" uniqueName="4" name="Poids MAx" queryTableFieldId="4"/>
    <tableColumn id="5" xr3:uid="{03A1DB8F-C048-440D-8CAC-0F6FC6ACA145}" uniqueName="5" name="Total weight" queryTableFieldId="5"/>
    <tableColumn id="6" xr3:uid="{FEF90767-A9AC-481C-9F20-C00477F2E237}" uniqueName="6" name="Total profit" queryTableFieldId="6"/>
    <tableColumn id="7" xr3:uid="{95613EA5-2E54-4421-8F63-3077D0EAF596}" uniqueName="7" name="Temps d'execution" queryTableFieldId="7" dataDxfId="23"/>
    <tableColumn id="8" xr3:uid="{534049B4-C574-46E3-917C-5AB5684305F2}" uniqueName="8" name="Fichier solution" queryTableFieldId="8" dataDxfId="22"/>
    <tableColumn id="9" xr3:uid="{CCC79AB6-47FB-4B9A-B76F-6FF0DC9C88B2}" uniqueName="9" name="tps_nb" queryTableFieldId="9" dataDxfId="21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B2F9FC6-08E0-40D0-B9DB-DB77C8037231}" name="results_8_fusionné" displayName="results_8_fusionné" ref="A1:I51" tableType="queryTable" totalsRowShown="0">
  <autoFilter ref="A1:I51" xr:uid="{3B2F9FC6-08E0-40D0-B9DB-DB77C8037231}"/>
  <tableColumns count="9">
    <tableColumn id="1" xr3:uid="{D4B6F55B-C536-44CA-BE61-41A17EAA2A6C}" uniqueName="1" name="Nom de la base" queryTableFieldId="1" dataDxfId="20"/>
    <tableColumn id="2" xr3:uid="{7865CDF7-A08B-4B83-BBAE-75F078576C1A}" uniqueName="2" name="Nombre d'iteration" queryTableFieldId="2"/>
    <tableColumn id="3" xr3:uid="{3FD72B71-D4E3-4897-A998-94061E626FFD}" uniqueName="3" name="Taille liste Tabou" queryTableFieldId="3"/>
    <tableColumn id="4" xr3:uid="{FC91E97A-D119-4449-871B-99813611F7CA}" uniqueName="4" name="Poids MAx" queryTableFieldId="4"/>
    <tableColumn id="5" xr3:uid="{7397FC20-1B81-40A4-923D-74CE94FC25E1}" uniqueName="5" name="Total weight" queryTableFieldId="5"/>
    <tableColumn id="6" xr3:uid="{E619DF7C-A8A9-4284-A960-62F6AAF7A9BF}" uniqueName="6" name="Total profit" queryTableFieldId="6"/>
    <tableColumn id="7" xr3:uid="{9F527801-C3A7-419D-8DC1-C50AC59E690C}" uniqueName="7" name="Temps d'execution" queryTableFieldId="7" dataDxfId="19"/>
    <tableColumn id="8" xr3:uid="{6C7203B4-99DC-468A-8C12-E7C49CD39A34}" uniqueName="8" name="Fichier solution" queryTableFieldId="8" dataDxfId="18"/>
    <tableColumn id="9" xr3:uid="{D7246068-EC46-4760-8652-AE07D6E6D64A}" uniqueName="9" name="tps_nb" queryTableFieldId="9" dataDxfId="17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1799796-B4C3-44C7-BB45-B32915A1CF6F}" name="results2_fusionné" displayName="results2_fusionné" ref="A1:J19" tableType="queryTable" totalsRowShown="0">
  <autoFilter ref="A1:J19" xr:uid="{71799796-B4C3-44C7-BB45-B32915A1CF6F}">
    <filterColumn colId="0">
      <filters>
        <filter val="pi-15-10000-1000-001.kna"/>
      </filters>
    </filterColumn>
  </autoFilter>
  <sortState xmlns:xlrd2="http://schemas.microsoft.com/office/spreadsheetml/2017/richdata2" ref="A9:J11">
    <sortCondition ref="C1:C19"/>
  </sortState>
  <tableColumns count="10">
    <tableColumn id="1" xr3:uid="{7C5A072D-6807-49AB-890A-80E28EF2A5AE}" uniqueName="1" name="Nom de la base" queryTableFieldId="1" dataDxfId="16"/>
    <tableColumn id="2" xr3:uid="{7FF263A3-4C69-41DA-BE8C-011D1AB74AC9}" uniqueName="2" name="Nombre d'iteration" queryTableFieldId="2"/>
    <tableColumn id="3" xr3:uid="{E53732AD-A134-4D57-A2ED-D1D95A411147}" uniqueName="3" name="Taille liste Tabou" queryTableFieldId="3"/>
    <tableColumn id="4" xr3:uid="{4684B8DA-3B99-412C-9DBD-3447A0DF37C8}" uniqueName="4" name="Poids MAx" queryTableFieldId="4"/>
    <tableColumn id="5" xr3:uid="{714EDDAF-F971-42CF-8A02-ABF7C3686562}" uniqueName="5" name="Total weight" queryTableFieldId="5"/>
    <tableColumn id="6" xr3:uid="{06F996FE-C024-4C8B-BC8D-C244566E5898}" uniqueName="6" name="Total profit" queryTableFieldId="6"/>
    <tableColumn id="7" xr3:uid="{DCD472BE-669F-4791-A21A-5B3B43390915}" uniqueName="7" name="Temps d'execution" queryTableFieldId="7" dataDxfId="15"/>
    <tableColumn id="8" xr3:uid="{9AFF8133-F298-434D-8345-0D403E5368DC}" uniqueName="8" name="Fichier solution" queryTableFieldId="8" dataDxfId="14"/>
    <tableColumn id="9" xr3:uid="{0ED24C4C-597D-4B5B-831E-3E3110F9E3B1}" uniqueName="9" name="tps_nb" queryTableFieldId="9" dataDxfId="13">
      <calculatedColumnFormula>IF(ISNUMBER(G2), G2, SUBSTITUTE(G2, ".", ",")*1)</calculatedColumnFormula>
    </tableColumn>
    <tableColumn id="10" xr3:uid="{AA4A2DC8-2F12-430E-AF91-EEA0CB25829F}" uniqueName="10" name="old_max_profit" queryTableFieldId="10" dataDxfId="12">
      <calculatedColumnFormula>MAX(results_1_fusionné[Total profit])</calculatedColumnFormula>
    </tableColumn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4135CE9-9546-4192-B164-628CEE5CA0B8}" name="resultsFinale_fusionné" displayName="resultsFinale_fusionné" ref="A1:I4" tableType="queryTable" totalsRowShown="0">
  <autoFilter ref="A1:I4" xr:uid="{B4135CE9-9546-4192-B164-628CEE5CA0B8}"/>
  <sortState xmlns:xlrd2="http://schemas.microsoft.com/office/spreadsheetml/2017/richdata2" ref="A2:H4">
    <sortCondition ref="B1:B4"/>
  </sortState>
  <tableColumns count="9">
    <tableColumn id="1" xr3:uid="{80AE98FF-0699-44C9-BE87-714DDA119B0E}" uniqueName="1" name="Nom de la base" queryTableFieldId="1" dataDxfId="2"/>
    <tableColumn id="2" xr3:uid="{B9690B6B-CE49-489C-97E3-205F9B727F7F}" uniqueName="2" name="Nombre d'iteration" queryTableFieldId="2"/>
    <tableColumn id="3" xr3:uid="{F36AAACA-EA3A-4A58-9B01-DAAE228B3322}" uniqueName="3" name="Taille liste Tabou" queryTableFieldId="3"/>
    <tableColumn id="4" xr3:uid="{500C7D4B-F756-424C-BCBF-54920C42C140}" uniqueName="4" name="Poids MAx" queryTableFieldId="4"/>
    <tableColumn id="5" xr3:uid="{E6DDB441-EF2E-4CC7-AD2B-6D9ED5C501EC}" uniqueName="5" name="Total weight" queryTableFieldId="5"/>
    <tableColumn id="6" xr3:uid="{ECAAD05A-D2B7-4115-94AB-AFAD20754DDB}" uniqueName="6" name="Total profit" queryTableFieldId="6"/>
    <tableColumn id="7" xr3:uid="{B66E1FF9-54A0-4955-B37C-D1D47CA90FCC}" uniqueName="7" name="Temps d'execution" queryTableFieldId="7" dataDxfId="1"/>
    <tableColumn id="8" xr3:uid="{7001C19A-AB44-4815-9EB0-86645043468F}" uniqueName="8" name="Fichier solution" queryTableFieldId="8" dataDxfId="0"/>
    <tableColumn id="9" xr3:uid="{291958B9-F031-4CD1-846A-4FC3413F2657}" uniqueName="9" name="pred_profit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572002-0D89-4DA2-84F7-EE1A1B41CC78}" name="results_0_fusionné13" displayName="results_0_fusionné13" ref="A1:H151" tableType="queryTable" totalsRowShown="0">
  <autoFilter ref="A1:H151" xr:uid="{09572002-0D89-4DA2-84F7-EE1A1B41CC78}"/>
  <tableColumns count="8">
    <tableColumn id="1" xr3:uid="{29A7C959-3ADB-4B95-BF01-0B90ED5BD5EF}" uniqueName="1" name="Nom de la base" queryTableFieldId="1" dataDxfId="11"/>
    <tableColumn id="2" xr3:uid="{A1EBB06B-FB38-461A-822F-26D1C9C705B5}" uniqueName="2" name="Nombre d'iteration" queryTableFieldId="2"/>
    <tableColumn id="3" xr3:uid="{A1EF9B49-E549-465A-A3AB-6733D680C5EE}" uniqueName="3" name="Taille liste Tabou" queryTableFieldId="3"/>
    <tableColumn id="4" xr3:uid="{B8B2584C-347E-4BC4-A890-B81B2ED760F6}" uniqueName="4" name="Poids MAx" queryTableFieldId="4"/>
    <tableColumn id="5" xr3:uid="{112DAE4D-E0AA-4485-A63A-DC822772874A}" uniqueName="5" name="Total weight" queryTableFieldId="5"/>
    <tableColumn id="6" xr3:uid="{AE0C309A-D7B5-4EA5-B171-D0C2A2077600}" uniqueName="6" name="Total profit" queryTableFieldId="6"/>
    <tableColumn id="7" xr3:uid="{66BA5B3B-01F4-4F42-9237-809BA062095D}" uniqueName="7" name="Temps d'execution" queryTableFieldId="7" dataDxfId="10"/>
    <tableColumn id="9" xr3:uid="{17C2925C-69A9-470B-BE8E-414912EADB22}" uniqueName="9" name="tps_nb" queryTableFieldId="9" dataDxfId="9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6E3D807-48D5-494E-B96E-920CE773A72B}" name="results_1_fusionné14" displayName="results_1_fusionné14" ref="A1:H151" tableType="queryTable" totalsRowShown="0">
  <autoFilter ref="A1:H151" xr:uid="{66E3D807-48D5-494E-B96E-920CE773A72B}"/>
  <tableColumns count="8">
    <tableColumn id="1" xr3:uid="{6C6FDA4E-DF07-4885-A905-71D544191C18}" uniqueName="1" name="Nom de la base" queryTableFieldId="1" dataDxfId="8"/>
    <tableColumn id="2" xr3:uid="{61851159-C144-40A3-90DD-923FDB4CAC32}" uniqueName="2" name="Nombre d'iteration" queryTableFieldId="2"/>
    <tableColumn id="3" xr3:uid="{B1F6FAAE-4266-4F74-8610-305211FAAC13}" uniqueName="3" name="Taille liste Tabou" queryTableFieldId="3"/>
    <tableColumn id="4" xr3:uid="{A142144B-964C-4B91-867A-9A02756E8DC5}" uniqueName="4" name="Poids MAx" queryTableFieldId="4"/>
    <tableColumn id="5" xr3:uid="{F667125A-2B28-4D16-AF04-D43C921B3CB6}" uniqueName="5" name="Total weight" queryTableFieldId="5"/>
    <tableColumn id="6" xr3:uid="{1D64A4D3-D9F1-42B3-955A-75D251A94D35}" uniqueName="6" name="Total profit" queryTableFieldId="6"/>
    <tableColumn id="7" xr3:uid="{7541FC66-6350-454F-8316-B4727DD8EBCF}" uniqueName="7" name="Temps d'execution" queryTableFieldId="7" dataDxfId="7"/>
    <tableColumn id="9" xr3:uid="{B1FF0A44-6FA3-4036-B5D2-D03108DD8484}" uniqueName="9" name="tps_nb" queryTableFieldId="9" dataDxfId="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71AA480-2BE2-46A8-B20E-261344C36D49}" name="results_2_fusionné15" displayName="results_2_fusionné15" ref="A1:H151" tableType="queryTable" totalsRowShown="0">
  <autoFilter ref="A1:H151" xr:uid="{471AA480-2BE2-46A8-B20E-261344C36D49}"/>
  <tableColumns count="8">
    <tableColumn id="1" xr3:uid="{60941151-4156-435A-B48A-2F3044B9203D}" uniqueName="1" name="Nom de la base" queryTableFieldId="1" dataDxfId="5"/>
    <tableColumn id="2" xr3:uid="{F4748B54-68B7-47B2-A198-976475E03B92}" uniqueName="2" name="Nombre d'iteration" queryTableFieldId="2"/>
    <tableColumn id="3" xr3:uid="{2F386142-BF05-43F1-83D5-26C7A0D85D51}" uniqueName="3" name="Taille liste Tabou" queryTableFieldId="3"/>
    <tableColumn id="4" xr3:uid="{1DD5AE29-BB3E-4BFE-AE1A-101AF55A9CC4}" uniqueName="4" name="Poids MAx" queryTableFieldId="4"/>
    <tableColumn id="5" xr3:uid="{6BCC8A61-5940-4A17-96CB-AF330356B3D5}" uniqueName="5" name="Total weight" queryTableFieldId="5"/>
    <tableColumn id="6" xr3:uid="{4C795B79-E3AA-4878-B5D5-442596F50C78}" uniqueName="6" name="Total profit" queryTableFieldId="6"/>
    <tableColumn id="7" xr3:uid="{ED3F0C7D-9137-49D5-A9C1-C4FCC7D7A395}" uniqueName="7" name="Temps d'execution" queryTableFieldId="7" dataDxfId="4"/>
    <tableColumn id="9" xr3:uid="{2F0BBEFF-6EAF-4FA6-9A73-C3EFCF9D6285}" uniqueName="9" name="tps_nb" queryTableFieldId="9" dataDxfId="3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table" Target="../tables/table3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5" Type="http://schemas.openxmlformats.org/officeDocument/2006/relationships/table" Target="../tables/table6.xm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4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5" Type="http://schemas.openxmlformats.org/officeDocument/2006/relationships/table" Target="../tables/table9.xm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22.xml"/><Relationship Id="rId1" Type="http://schemas.openxmlformats.org/officeDocument/2006/relationships/pivotTable" Target="../pivotTables/pivotTable21.xml"/><Relationship Id="rId5" Type="http://schemas.openxmlformats.org/officeDocument/2006/relationships/table" Target="../tables/table12.xm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23.xml"/><Relationship Id="rId4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24.xml"/><Relationship Id="rId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F98F-80D9-4B81-BE38-63F045D25D09}">
  <dimension ref="A1:I83"/>
  <sheetViews>
    <sheetView workbookViewId="0">
      <selection sqref="A1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8</v>
      </c>
      <c r="B2">
        <v>1000000</v>
      </c>
      <c r="C2">
        <v>1</v>
      </c>
      <c r="D2">
        <v>970</v>
      </c>
      <c r="E2">
        <v>970</v>
      </c>
      <c r="F2">
        <v>970</v>
      </c>
      <c r="G2" t="s">
        <v>9</v>
      </c>
      <c r="H2" t="s">
        <v>10</v>
      </c>
      <c r="I2">
        <f>IF(ISNUMBER(G2), G2, SUBSTITUTE(G2, ".", ",")*1)</f>
        <v>47.827348470687802</v>
      </c>
    </row>
    <row r="3" spans="1:9" x14ac:dyDescent="0.3">
      <c r="A3" t="s">
        <v>8</v>
      </c>
      <c r="B3">
        <v>1000000</v>
      </c>
      <c r="C3">
        <v>10</v>
      </c>
      <c r="D3">
        <v>970</v>
      </c>
      <c r="E3">
        <v>970</v>
      </c>
      <c r="F3">
        <v>970</v>
      </c>
      <c r="G3" t="s">
        <v>11</v>
      </c>
      <c r="H3" t="s">
        <v>12</v>
      </c>
      <c r="I3">
        <f t="shared" ref="I3:I33" si="0">IF(ISNUMBER(G3), G3, SUBSTITUTE(G3, ".", ",")*1)</f>
        <v>0</v>
      </c>
    </row>
    <row r="4" spans="1:9" x14ac:dyDescent="0.3">
      <c r="A4" t="s">
        <v>8</v>
      </c>
      <c r="B4">
        <v>1000000</v>
      </c>
      <c r="C4">
        <v>15</v>
      </c>
      <c r="D4">
        <v>970</v>
      </c>
      <c r="E4">
        <v>970</v>
      </c>
      <c r="F4">
        <v>970</v>
      </c>
      <c r="G4" t="s">
        <v>13</v>
      </c>
      <c r="H4" t="s">
        <v>14</v>
      </c>
      <c r="I4">
        <f t="shared" si="0"/>
        <v>1.162052154541E-3</v>
      </c>
    </row>
    <row r="5" spans="1:9" x14ac:dyDescent="0.3">
      <c r="A5" t="s">
        <v>8</v>
      </c>
      <c r="B5">
        <v>1000000</v>
      </c>
      <c r="C5">
        <v>20</v>
      </c>
      <c r="D5">
        <v>970</v>
      </c>
      <c r="E5">
        <v>970</v>
      </c>
      <c r="F5">
        <v>970</v>
      </c>
      <c r="G5" t="s">
        <v>11</v>
      </c>
      <c r="H5" t="s">
        <v>15</v>
      </c>
      <c r="I5">
        <f t="shared" si="0"/>
        <v>0</v>
      </c>
    </row>
    <row r="6" spans="1:9" x14ac:dyDescent="0.3">
      <c r="A6" t="s">
        <v>8</v>
      </c>
      <c r="B6">
        <v>1000000</v>
      </c>
      <c r="C6">
        <v>5</v>
      </c>
      <c r="D6">
        <v>970</v>
      </c>
      <c r="E6">
        <v>970</v>
      </c>
      <c r="F6">
        <v>970</v>
      </c>
      <c r="G6" t="s">
        <v>16</v>
      </c>
      <c r="H6" t="s">
        <v>17</v>
      </c>
      <c r="I6">
        <f t="shared" si="0"/>
        <v>1.3794898986816001E-3</v>
      </c>
    </row>
    <row r="7" spans="1:9" x14ac:dyDescent="0.3">
      <c r="A7" t="s">
        <v>8</v>
      </c>
      <c r="B7">
        <v>100000</v>
      </c>
      <c r="C7">
        <v>1</v>
      </c>
      <c r="D7">
        <v>970</v>
      </c>
      <c r="E7">
        <v>970</v>
      </c>
      <c r="F7">
        <v>970</v>
      </c>
      <c r="G7" t="s">
        <v>18</v>
      </c>
      <c r="H7" t="s">
        <v>19</v>
      </c>
      <c r="I7">
        <f t="shared" si="0"/>
        <v>4.9117052555084202</v>
      </c>
    </row>
    <row r="8" spans="1:9" x14ac:dyDescent="0.3">
      <c r="A8" t="s">
        <v>8</v>
      </c>
      <c r="B8">
        <v>100000</v>
      </c>
      <c r="C8">
        <v>10</v>
      </c>
      <c r="D8">
        <v>970</v>
      </c>
      <c r="E8">
        <v>970</v>
      </c>
      <c r="F8">
        <v>970</v>
      </c>
      <c r="G8" t="s">
        <v>11</v>
      </c>
      <c r="H8" t="s">
        <v>20</v>
      </c>
      <c r="I8">
        <f t="shared" si="0"/>
        <v>0</v>
      </c>
    </row>
    <row r="9" spans="1:9" x14ac:dyDescent="0.3">
      <c r="A9" t="s">
        <v>8</v>
      </c>
      <c r="B9">
        <v>100000</v>
      </c>
      <c r="C9">
        <v>15</v>
      </c>
      <c r="D9">
        <v>970</v>
      </c>
      <c r="E9">
        <v>970</v>
      </c>
      <c r="F9">
        <v>970</v>
      </c>
      <c r="G9" t="s">
        <v>21</v>
      </c>
      <c r="H9" t="s">
        <v>22</v>
      </c>
      <c r="I9">
        <f t="shared" si="0"/>
        <v>3.6742177009582502</v>
      </c>
    </row>
    <row r="10" spans="1:9" x14ac:dyDescent="0.3">
      <c r="A10" t="s">
        <v>8</v>
      </c>
      <c r="B10">
        <v>100000</v>
      </c>
      <c r="C10">
        <v>20</v>
      </c>
      <c r="D10">
        <v>970</v>
      </c>
      <c r="E10">
        <v>970</v>
      </c>
      <c r="F10">
        <v>970</v>
      </c>
      <c r="G10" t="s">
        <v>23</v>
      </c>
      <c r="H10" t="s">
        <v>24</v>
      </c>
      <c r="I10">
        <f t="shared" si="0"/>
        <v>9.9849700927729995E-4</v>
      </c>
    </row>
    <row r="11" spans="1:9" x14ac:dyDescent="0.3">
      <c r="A11" t="s">
        <v>8</v>
      </c>
      <c r="B11">
        <v>100000</v>
      </c>
      <c r="C11">
        <v>5</v>
      </c>
      <c r="D11">
        <v>970</v>
      </c>
      <c r="E11">
        <v>970</v>
      </c>
      <c r="F11">
        <v>970</v>
      </c>
      <c r="G11" t="s">
        <v>25</v>
      </c>
      <c r="H11" t="s">
        <v>26</v>
      </c>
      <c r="I11">
        <f t="shared" si="0"/>
        <v>4.1733338832855198</v>
      </c>
    </row>
    <row r="12" spans="1:9" x14ac:dyDescent="0.3">
      <c r="A12" t="s">
        <v>8</v>
      </c>
      <c r="B12">
        <v>10000</v>
      </c>
      <c r="C12">
        <v>1</v>
      </c>
      <c r="D12">
        <v>970</v>
      </c>
      <c r="E12">
        <v>951</v>
      </c>
      <c r="F12">
        <v>811</v>
      </c>
      <c r="G12" t="s">
        <v>27</v>
      </c>
      <c r="H12" t="s">
        <v>28</v>
      </c>
      <c r="I12">
        <f t="shared" si="0"/>
        <v>0.68411469459533603</v>
      </c>
    </row>
    <row r="13" spans="1:9" x14ac:dyDescent="0.3">
      <c r="A13" t="s">
        <v>8</v>
      </c>
      <c r="B13">
        <v>10000</v>
      </c>
      <c r="C13">
        <v>10</v>
      </c>
      <c r="D13">
        <v>970</v>
      </c>
      <c r="E13">
        <v>970</v>
      </c>
      <c r="F13">
        <v>970</v>
      </c>
      <c r="G13" t="s">
        <v>29</v>
      </c>
      <c r="H13" t="s">
        <v>30</v>
      </c>
      <c r="I13">
        <f t="shared" si="0"/>
        <v>1.9941329956053998E-3</v>
      </c>
    </row>
    <row r="14" spans="1:9" x14ac:dyDescent="0.3">
      <c r="A14" t="s">
        <v>8</v>
      </c>
      <c r="B14">
        <v>10000</v>
      </c>
      <c r="C14">
        <v>15</v>
      </c>
      <c r="D14">
        <v>970</v>
      </c>
      <c r="E14">
        <v>970</v>
      </c>
      <c r="F14">
        <v>970</v>
      </c>
      <c r="G14" t="s">
        <v>31</v>
      </c>
      <c r="H14" t="s">
        <v>32</v>
      </c>
      <c r="I14">
        <f t="shared" si="0"/>
        <v>3.9925575256346997E-3</v>
      </c>
    </row>
    <row r="15" spans="1:9" x14ac:dyDescent="0.3">
      <c r="A15" t="s">
        <v>8</v>
      </c>
      <c r="B15">
        <v>10000</v>
      </c>
      <c r="C15">
        <v>20</v>
      </c>
      <c r="D15">
        <v>970</v>
      </c>
      <c r="E15">
        <v>970</v>
      </c>
      <c r="F15">
        <v>970</v>
      </c>
      <c r="G15" t="s">
        <v>33</v>
      </c>
      <c r="H15" t="s">
        <v>34</v>
      </c>
      <c r="I15">
        <f t="shared" si="0"/>
        <v>1.9953250885008998E-3</v>
      </c>
    </row>
    <row r="16" spans="1:9" x14ac:dyDescent="0.3">
      <c r="A16" t="s">
        <v>8</v>
      </c>
      <c r="B16">
        <v>10000</v>
      </c>
      <c r="C16">
        <v>5</v>
      </c>
      <c r="D16">
        <v>970</v>
      </c>
      <c r="E16">
        <v>970</v>
      </c>
      <c r="F16">
        <v>970</v>
      </c>
      <c r="G16" t="s">
        <v>35</v>
      </c>
      <c r="H16" t="s">
        <v>36</v>
      </c>
      <c r="I16">
        <f t="shared" si="0"/>
        <v>0.51176428794860795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947</v>
      </c>
      <c r="F17">
        <v>849</v>
      </c>
      <c r="G17" t="s">
        <v>37</v>
      </c>
      <c r="H17" t="s">
        <v>38</v>
      </c>
      <c r="I17">
        <f t="shared" si="0"/>
        <v>6.6370248794555595E-2</v>
      </c>
    </row>
    <row r="18" spans="1:9" x14ac:dyDescent="0.3">
      <c r="A18" t="s">
        <v>8</v>
      </c>
      <c r="B18">
        <v>1000</v>
      </c>
      <c r="C18">
        <v>10</v>
      </c>
      <c r="D18">
        <v>970</v>
      </c>
      <c r="E18">
        <v>970</v>
      </c>
      <c r="F18">
        <v>970</v>
      </c>
      <c r="G18" t="s">
        <v>39</v>
      </c>
      <c r="H18" t="s">
        <v>40</v>
      </c>
      <c r="I18">
        <f t="shared" si="0"/>
        <v>2.5446414947508998E-3</v>
      </c>
    </row>
    <row r="19" spans="1:9" x14ac:dyDescent="0.3">
      <c r="A19" t="s">
        <v>8</v>
      </c>
      <c r="B19">
        <v>1000</v>
      </c>
      <c r="C19">
        <v>15</v>
      </c>
      <c r="D19">
        <v>970</v>
      </c>
      <c r="E19">
        <v>970</v>
      </c>
      <c r="F19">
        <v>970</v>
      </c>
      <c r="G19" t="s">
        <v>41</v>
      </c>
      <c r="H19" t="s">
        <v>42</v>
      </c>
      <c r="I19">
        <f t="shared" si="0"/>
        <v>3.1938552856445E-3</v>
      </c>
    </row>
    <row r="20" spans="1:9" x14ac:dyDescent="0.3">
      <c r="A20" t="s">
        <v>8</v>
      </c>
      <c r="B20">
        <v>1000</v>
      </c>
      <c r="C20">
        <v>20</v>
      </c>
      <c r="D20">
        <v>970</v>
      </c>
      <c r="E20">
        <v>943</v>
      </c>
      <c r="F20">
        <v>887</v>
      </c>
      <c r="G20" t="s">
        <v>43</v>
      </c>
      <c r="H20" t="s">
        <v>44</v>
      </c>
      <c r="I20">
        <f t="shared" si="0"/>
        <v>6.6700935363769503E-2</v>
      </c>
    </row>
    <row r="21" spans="1:9" x14ac:dyDescent="0.3">
      <c r="A21" t="s">
        <v>8</v>
      </c>
      <c r="B21">
        <v>1000</v>
      </c>
      <c r="C21">
        <v>5</v>
      </c>
      <c r="D21">
        <v>970</v>
      </c>
      <c r="E21">
        <v>970</v>
      </c>
      <c r="F21">
        <v>970</v>
      </c>
      <c r="G21" t="s">
        <v>45</v>
      </c>
      <c r="H21" t="s">
        <v>46</v>
      </c>
      <c r="I21">
        <f t="shared" si="0"/>
        <v>8.2931041717529297E-2</v>
      </c>
    </row>
    <row r="22" spans="1:9" x14ac:dyDescent="0.3">
      <c r="A22" t="s">
        <v>8</v>
      </c>
      <c r="B22">
        <v>100</v>
      </c>
      <c r="C22">
        <v>1</v>
      </c>
      <c r="D22">
        <v>970</v>
      </c>
      <c r="E22">
        <v>970</v>
      </c>
      <c r="F22">
        <v>970</v>
      </c>
      <c r="G22" t="s">
        <v>47</v>
      </c>
      <c r="H22" t="s">
        <v>48</v>
      </c>
      <c r="I22">
        <f t="shared" si="0"/>
        <v>5.9912204742430999E-3</v>
      </c>
    </row>
    <row r="23" spans="1:9" x14ac:dyDescent="0.3">
      <c r="A23" t="s">
        <v>8</v>
      </c>
      <c r="B23">
        <v>100</v>
      </c>
      <c r="C23">
        <v>10</v>
      </c>
      <c r="D23">
        <v>970</v>
      </c>
      <c r="E23">
        <v>970</v>
      </c>
      <c r="F23">
        <v>970</v>
      </c>
      <c r="G23" t="s">
        <v>11</v>
      </c>
      <c r="H23" t="s">
        <v>49</v>
      </c>
      <c r="I23">
        <f t="shared" si="0"/>
        <v>0</v>
      </c>
    </row>
    <row r="24" spans="1:9" x14ac:dyDescent="0.3">
      <c r="A24" t="s">
        <v>8</v>
      </c>
      <c r="B24">
        <v>100</v>
      </c>
      <c r="C24">
        <v>15</v>
      </c>
      <c r="D24">
        <v>970</v>
      </c>
      <c r="E24">
        <v>970</v>
      </c>
      <c r="F24">
        <v>970</v>
      </c>
      <c r="G24" t="s">
        <v>50</v>
      </c>
      <c r="H24" t="s">
        <v>51</v>
      </c>
      <c r="I24">
        <f t="shared" si="0"/>
        <v>1.2164115905761001E-3</v>
      </c>
    </row>
    <row r="25" spans="1:9" x14ac:dyDescent="0.3">
      <c r="A25" t="s">
        <v>8</v>
      </c>
      <c r="B25">
        <v>100</v>
      </c>
      <c r="C25">
        <v>20</v>
      </c>
      <c r="D25">
        <v>970</v>
      </c>
      <c r="E25">
        <v>970</v>
      </c>
      <c r="F25">
        <v>970</v>
      </c>
      <c r="G25" t="s">
        <v>52</v>
      </c>
      <c r="H25" t="s">
        <v>53</v>
      </c>
      <c r="I25">
        <f t="shared" si="0"/>
        <v>9.9301338195800001E-4</v>
      </c>
    </row>
    <row r="26" spans="1:9" x14ac:dyDescent="0.3">
      <c r="A26" t="s">
        <v>8</v>
      </c>
      <c r="B26">
        <v>100</v>
      </c>
      <c r="C26">
        <v>5</v>
      </c>
      <c r="D26">
        <v>970</v>
      </c>
      <c r="E26">
        <v>970</v>
      </c>
      <c r="F26">
        <v>970</v>
      </c>
      <c r="G26" t="s">
        <v>54</v>
      </c>
      <c r="H26" t="s">
        <v>55</v>
      </c>
      <c r="I26">
        <f t="shared" si="0"/>
        <v>6.0231685638426997E-3</v>
      </c>
    </row>
    <row r="27" spans="1:9" x14ac:dyDescent="0.3">
      <c r="A27" t="s">
        <v>8</v>
      </c>
      <c r="B27">
        <v>500000</v>
      </c>
      <c r="C27">
        <v>1</v>
      </c>
      <c r="D27">
        <v>970</v>
      </c>
      <c r="E27">
        <v>970</v>
      </c>
      <c r="F27">
        <v>970</v>
      </c>
      <c r="G27" t="s">
        <v>56</v>
      </c>
      <c r="H27" t="s">
        <v>57</v>
      </c>
      <c r="I27">
        <f t="shared" si="0"/>
        <v>25.204922676086401</v>
      </c>
    </row>
    <row r="28" spans="1:9" x14ac:dyDescent="0.3">
      <c r="A28" t="s">
        <v>8</v>
      </c>
      <c r="B28">
        <v>500000</v>
      </c>
      <c r="C28">
        <v>10</v>
      </c>
      <c r="D28">
        <v>970</v>
      </c>
      <c r="E28">
        <v>970</v>
      </c>
      <c r="F28">
        <v>970</v>
      </c>
      <c r="G28" t="s">
        <v>58</v>
      </c>
      <c r="H28" t="s">
        <v>59</v>
      </c>
      <c r="I28">
        <f t="shared" si="0"/>
        <v>1.0476112365721999E-3</v>
      </c>
    </row>
    <row r="29" spans="1:9" x14ac:dyDescent="0.3">
      <c r="A29" t="s">
        <v>8</v>
      </c>
      <c r="B29">
        <v>500000</v>
      </c>
      <c r="C29">
        <v>15</v>
      </c>
      <c r="D29">
        <v>970</v>
      </c>
      <c r="E29">
        <v>970</v>
      </c>
      <c r="F29">
        <v>970</v>
      </c>
      <c r="G29" t="s">
        <v>60</v>
      </c>
      <c r="H29" t="s">
        <v>61</v>
      </c>
      <c r="I29">
        <f t="shared" si="0"/>
        <v>3.7882328033447001E-3</v>
      </c>
    </row>
    <row r="30" spans="1:9" x14ac:dyDescent="0.3">
      <c r="A30" t="s">
        <v>8</v>
      </c>
      <c r="B30">
        <v>500000</v>
      </c>
      <c r="C30">
        <v>20</v>
      </c>
      <c r="D30">
        <v>970</v>
      </c>
      <c r="E30">
        <v>970</v>
      </c>
      <c r="F30">
        <v>970</v>
      </c>
      <c r="G30" t="s">
        <v>62</v>
      </c>
      <c r="H30" t="s">
        <v>63</v>
      </c>
      <c r="I30">
        <f t="shared" si="0"/>
        <v>2.1235942840575998E-3</v>
      </c>
    </row>
    <row r="31" spans="1:9" x14ac:dyDescent="0.3">
      <c r="A31" t="s">
        <v>8</v>
      </c>
      <c r="B31">
        <v>500000</v>
      </c>
      <c r="C31">
        <v>5</v>
      </c>
      <c r="D31">
        <v>970</v>
      </c>
      <c r="E31">
        <v>970</v>
      </c>
      <c r="F31">
        <v>970</v>
      </c>
      <c r="G31" t="s">
        <v>64</v>
      </c>
      <c r="H31" t="s">
        <v>65</v>
      </c>
      <c r="I31">
        <f t="shared" si="0"/>
        <v>1.9843578338622999E-3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66</v>
      </c>
      <c r="H32" t="s">
        <v>67</v>
      </c>
      <c r="I32">
        <f t="shared" si="0"/>
        <v>3.9399929046630802</v>
      </c>
    </row>
    <row r="33" spans="1:9" x14ac:dyDescent="0.3">
      <c r="A33" t="s">
        <v>8</v>
      </c>
      <c r="B33">
        <v>50000</v>
      </c>
      <c r="C33">
        <v>10</v>
      </c>
      <c r="D33">
        <v>970</v>
      </c>
      <c r="E33">
        <v>970</v>
      </c>
      <c r="F33">
        <v>970</v>
      </c>
      <c r="G33" t="s">
        <v>68</v>
      </c>
      <c r="H33" t="s">
        <v>69</v>
      </c>
      <c r="I33">
        <f t="shared" si="0"/>
        <v>1.5130043029785E-3</v>
      </c>
    </row>
    <row r="34" spans="1:9" x14ac:dyDescent="0.3">
      <c r="A34" t="s">
        <v>8</v>
      </c>
      <c r="B34">
        <v>50000</v>
      </c>
      <c r="C34">
        <v>15</v>
      </c>
      <c r="D34">
        <v>970</v>
      </c>
      <c r="E34">
        <v>970</v>
      </c>
      <c r="F34">
        <v>970</v>
      </c>
      <c r="G34" t="s">
        <v>70</v>
      </c>
      <c r="H34" t="s">
        <v>71</v>
      </c>
      <c r="I34">
        <f t="shared" ref="I34:I51" si="1">IF(ISNUMBER(G34), G34, SUBSTITUTE(G34, ".", ",")*1)</f>
        <v>1.1842250823974E-3</v>
      </c>
    </row>
    <row r="35" spans="1:9" x14ac:dyDescent="0.3">
      <c r="A35" t="s">
        <v>8</v>
      </c>
      <c r="B35">
        <v>50000</v>
      </c>
      <c r="C35">
        <v>20</v>
      </c>
      <c r="D35">
        <v>970</v>
      </c>
      <c r="E35">
        <v>970</v>
      </c>
      <c r="F35">
        <v>970</v>
      </c>
      <c r="G35" t="s">
        <v>72</v>
      </c>
      <c r="H35" t="s">
        <v>73</v>
      </c>
      <c r="I35">
        <f t="shared" si="1"/>
        <v>1.0817050933836999E-3</v>
      </c>
    </row>
    <row r="36" spans="1:9" x14ac:dyDescent="0.3">
      <c r="A36" t="s">
        <v>8</v>
      </c>
      <c r="B36">
        <v>50000</v>
      </c>
      <c r="C36">
        <v>5</v>
      </c>
      <c r="D36">
        <v>970</v>
      </c>
      <c r="E36">
        <v>970</v>
      </c>
      <c r="F36">
        <v>970</v>
      </c>
      <c r="G36" t="s">
        <v>74</v>
      </c>
      <c r="H36" t="s">
        <v>75</v>
      </c>
      <c r="I36">
        <f t="shared" si="1"/>
        <v>2.3431270122528001</v>
      </c>
    </row>
    <row r="37" spans="1:9" x14ac:dyDescent="0.3">
      <c r="A37" t="s">
        <v>8</v>
      </c>
      <c r="B37">
        <v>5000</v>
      </c>
      <c r="C37">
        <v>1</v>
      </c>
      <c r="D37">
        <v>970</v>
      </c>
      <c r="E37">
        <v>955</v>
      </c>
      <c r="F37">
        <v>773</v>
      </c>
      <c r="G37" t="s">
        <v>76</v>
      </c>
      <c r="H37" t="s">
        <v>77</v>
      </c>
      <c r="I37">
        <f t="shared" si="1"/>
        <v>0.28904294967651301</v>
      </c>
    </row>
    <row r="38" spans="1:9" x14ac:dyDescent="0.3">
      <c r="A38" t="s">
        <v>8</v>
      </c>
      <c r="B38">
        <v>5000</v>
      </c>
      <c r="C38">
        <v>10</v>
      </c>
      <c r="D38">
        <v>970</v>
      </c>
      <c r="E38">
        <v>970</v>
      </c>
      <c r="F38">
        <v>970</v>
      </c>
      <c r="G38" t="s">
        <v>11</v>
      </c>
      <c r="H38" t="s">
        <v>78</v>
      </c>
      <c r="I38">
        <f t="shared" si="1"/>
        <v>0</v>
      </c>
    </row>
    <row r="39" spans="1:9" x14ac:dyDescent="0.3">
      <c r="A39" t="s">
        <v>8</v>
      </c>
      <c r="B39">
        <v>5000</v>
      </c>
      <c r="C39">
        <v>15</v>
      </c>
      <c r="D39">
        <v>970</v>
      </c>
      <c r="E39">
        <v>970</v>
      </c>
      <c r="F39">
        <v>970</v>
      </c>
      <c r="G39" t="s">
        <v>79</v>
      </c>
      <c r="H39" t="s">
        <v>80</v>
      </c>
      <c r="I39">
        <f t="shared" si="1"/>
        <v>1.0185241699218E-3</v>
      </c>
    </row>
    <row r="40" spans="1:9" x14ac:dyDescent="0.3">
      <c r="A40" t="s">
        <v>8</v>
      </c>
      <c r="B40">
        <v>5000</v>
      </c>
      <c r="C40">
        <v>20</v>
      </c>
      <c r="D40">
        <v>970</v>
      </c>
      <c r="E40">
        <v>970</v>
      </c>
      <c r="F40">
        <v>970</v>
      </c>
      <c r="G40" t="s">
        <v>81</v>
      </c>
      <c r="H40" t="s">
        <v>82</v>
      </c>
      <c r="I40">
        <f t="shared" si="1"/>
        <v>2.4068355560302001E-3</v>
      </c>
    </row>
    <row r="41" spans="1:9" x14ac:dyDescent="0.3">
      <c r="A41" t="s">
        <v>8</v>
      </c>
      <c r="B41">
        <v>5000</v>
      </c>
      <c r="C41">
        <v>5</v>
      </c>
      <c r="D41">
        <v>970</v>
      </c>
      <c r="E41">
        <v>970</v>
      </c>
      <c r="F41">
        <v>970</v>
      </c>
      <c r="G41" t="s">
        <v>83</v>
      </c>
      <c r="H41" t="s">
        <v>84</v>
      </c>
      <c r="I41">
        <f t="shared" si="1"/>
        <v>1.0056495666503E-3</v>
      </c>
    </row>
    <row r="42" spans="1:9" x14ac:dyDescent="0.3">
      <c r="A42" t="s">
        <v>8</v>
      </c>
      <c r="B42">
        <v>500</v>
      </c>
      <c r="C42">
        <v>1</v>
      </c>
      <c r="D42">
        <v>970</v>
      </c>
      <c r="E42">
        <v>955</v>
      </c>
      <c r="F42">
        <v>773</v>
      </c>
      <c r="G42" t="s">
        <v>85</v>
      </c>
      <c r="H42" t="s">
        <v>86</v>
      </c>
      <c r="I42">
        <f t="shared" si="1"/>
        <v>2.2163867950439401E-2</v>
      </c>
    </row>
    <row r="43" spans="1:9" x14ac:dyDescent="0.3">
      <c r="A43" t="s">
        <v>8</v>
      </c>
      <c r="B43">
        <v>500</v>
      </c>
      <c r="C43">
        <v>10</v>
      </c>
      <c r="D43">
        <v>970</v>
      </c>
      <c r="E43">
        <v>970</v>
      </c>
      <c r="F43">
        <v>970</v>
      </c>
      <c r="G43" t="s">
        <v>87</v>
      </c>
      <c r="H43" t="s">
        <v>88</v>
      </c>
      <c r="I43">
        <f t="shared" si="1"/>
        <v>3.3472537994384703E-2</v>
      </c>
    </row>
    <row r="44" spans="1:9" x14ac:dyDescent="0.3">
      <c r="A44" t="s">
        <v>8</v>
      </c>
      <c r="B44">
        <v>500</v>
      </c>
      <c r="C44">
        <v>15</v>
      </c>
      <c r="D44">
        <v>970</v>
      </c>
      <c r="E44">
        <v>970</v>
      </c>
      <c r="F44">
        <v>970</v>
      </c>
      <c r="G44" t="s">
        <v>89</v>
      </c>
      <c r="H44" t="s">
        <v>90</v>
      </c>
      <c r="I44">
        <f t="shared" si="1"/>
        <v>1.0435581207275E-3</v>
      </c>
    </row>
    <row r="45" spans="1:9" x14ac:dyDescent="0.3">
      <c r="A45" t="s">
        <v>8</v>
      </c>
      <c r="B45">
        <v>500</v>
      </c>
      <c r="C45">
        <v>20</v>
      </c>
      <c r="D45">
        <v>970</v>
      </c>
      <c r="E45">
        <v>970</v>
      </c>
      <c r="F45">
        <v>970</v>
      </c>
      <c r="G45" t="s">
        <v>91</v>
      </c>
      <c r="H45" t="s">
        <v>92</v>
      </c>
      <c r="I45">
        <f t="shared" si="1"/>
        <v>4.2078495025634002E-3</v>
      </c>
    </row>
    <row r="46" spans="1:9" x14ac:dyDescent="0.3">
      <c r="A46" t="s">
        <v>8</v>
      </c>
      <c r="B46">
        <v>500</v>
      </c>
      <c r="C46">
        <v>5</v>
      </c>
      <c r="D46">
        <v>970</v>
      </c>
      <c r="E46">
        <v>970</v>
      </c>
      <c r="F46">
        <v>970</v>
      </c>
      <c r="G46" t="s">
        <v>11</v>
      </c>
      <c r="H46" t="s">
        <v>93</v>
      </c>
      <c r="I46">
        <f t="shared" si="1"/>
        <v>0</v>
      </c>
    </row>
    <row r="47" spans="1:9" x14ac:dyDescent="0.3">
      <c r="A47" t="s">
        <v>8</v>
      </c>
      <c r="B47">
        <v>50</v>
      </c>
      <c r="C47">
        <v>1</v>
      </c>
      <c r="D47">
        <v>970</v>
      </c>
      <c r="E47">
        <v>951</v>
      </c>
      <c r="F47">
        <v>811</v>
      </c>
      <c r="G47" t="s">
        <v>94</v>
      </c>
      <c r="H47" t="s">
        <v>95</v>
      </c>
      <c r="I47">
        <f t="shared" si="1"/>
        <v>2.3968696594238201E-2</v>
      </c>
    </row>
    <row r="48" spans="1:9" x14ac:dyDescent="0.3">
      <c r="A48" t="s">
        <v>8</v>
      </c>
      <c r="B48">
        <v>50</v>
      </c>
      <c r="C48">
        <v>10</v>
      </c>
      <c r="D48">
        <v>970</v>
      </c>
      <c r="E48">
        <v>970</v>
      </c>
      <c r="F48">
        <v>970</v>
      </c>
      <c r="G48" t="s">
        <v>11</v>
      </c>
      <c r="H48" t="s">
        <v>96</v>
      </c>
      <c r="I48">
        <f t="shared" si="1"/>
        <v>0</v>
      </c>
    </row>
    <row r="49" spans="1:9" x14ac:dyDescent="0.3">
      <c r="A49" t="s">
        <v>8</v>
      </c>
      <c r="B49">
        <v>50</v>
      </c>
      <c r="C49">
        <v>15</v>
      </c>
      <c r="D49">
        <v>970</v>
      </c>
      <c r="E49">
        <v>970</v>
      </c>
      <c r="F49">
        <v>970</v>
      </c>
      <c r="G49" t="s">
        <v>97</v>
      </c>
      <c r="H49" t="s">
        <v>98</v>
      </c>
      <c r="I49">
        <f t="shared" si="1"/>
        <v>1.0437965393066001E-3</v>
      </c>
    </row>
    <row r="50" spans="1:9" x14ac:dyDescent="0.3">
      <c r="A50" t="s">
        <v>8</v>
      </c>
      <c r="B50">
        <v>50</v>
      </c>
      <c r="C50">
        <v>20</v>
      </c>
      <c r="D50">
        <v>970</v>
      </c>
      <c r="E50">
        <v>970</v>
      </c>
      <c r="F50">
        <v>970</v>
      </c>
      <c r="G50" t="s">
        <v>11</v>
      </c>
      <c r="H50" t="s">
        <v>99</v>
      </c>
      <c r="I50">
        <f t="shared" si="1"/>
        <v>0</v>
      </c>
    </row>
    <row r="51" spans="1:9" x14ac:dyDescent="0.3">
      <c r="A51" t="s">
        <v>8</v>
      </c>
      <c r="B51">
        <v>50</v>
      </c>
      <c r="C51">
        <v>5</v>
      </c>
      <c r="D51">
        <v>970</v>
      </c>
      <c r="E51">
        <v>970</v>
      </c>
      <c r="F51">
        <v>970</v>
      </c>
      <c r="G51" t="s">
        <v>100</v>
      </c>
      <c r="H51" t="s">
        <v>101</v>
      </c>
      <c r="I51">
        <f t="shared" si="1"/>
        <v>1.0702610015869E-3</v>
      </c>
    </row>
    <row r="57" spans="1:9" x14ac:dyDescent="0.3">
      <c r="A57" t="s">
        <v>103</v>
      </c>
      <c r="B57">
        <f>AVERAGE(results_0_fusionné[tps_nb])</f>
        <v>1.8782236146926861</v>
      </c>
    </row>
    <row r="58" spans="1:9" x14ac:dyDescent="0.3">
      <c r="A58" t="s">
        <v>104</v>
      </c>
      <c r="B58">
        <f>MAX(results_0_fusionné[Total profit])</f>
        <v>970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938.2</v>
      </c>
    </row>
    <row r="62" spans="1:9" x14ac:dyDescent="0.3">
      <c r="A62" s="2">
        <v>100</v>
      </c>
      <c r="B62">
        <v>970</v>
      </c>
    </row>
    <row r="63" spans="1:9" x14ac:dyDescent="0.3">
      <c r="A63" s="2">
        <v>500</v>
      </c>
      <c r="B63">
        <v>930.6</v>
      </c>
    </row>
    <row r="64" spans="1:9" x14ac:dyDescent="0.3">
      <c r="A64" s="2">
        <v>1000</v>
      </c>
      <c r="B64">
        <v>929.2</v>
      </c>
    </row>
    <row r="65" spans="1:2" x14ac:dyDescent="0.3">
      <c r="A65" s="2">
        <v>5000</v>
      </c>
      <c r="B65">
        <v>930.6</v>
      </c>
    </row>
    <row r="66" spans="1:2" x14ac:dyDescent="0.3">
      <c r="A66" s="2">
        <v>10000</v>
      </c>
      <c r="B66">
        <v>938.2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106</v>
      </c>
      <c r="B71">
        <v>951.68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886.7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970</v>
      </c>
    </row>
    <row r="81" spans="1:2" x14ac:dyDescent="0.3">
      <c r="A81" s="2">
        <v>15</v>
      </c>
      <c r="B81">
        <v>970</v>
      </c>
    </row>
    <row r="82" spans="1:2" x14ac:dyDescent="0.3">
      <c r="A82" s="2">
        <v>20</v>
      </c>
      <c r="B82">
        <v>961.7</v>
      </c>
    </row>
    <row r="83" spans="1:2" x14ac:dyDescent="0.3">
      <c r="A83" s="2" t="s">
        <v>106</v>
      </c>
      <c r="B83">
        <v>951.68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1A50-93B5-4B0B-A72B-68BD5AB02BDE}">
  <dimension ref="A1:I83"/>
  <sheetViews>
    <sheetView workbookViewId="0">
      <selection sqref="A1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109</v>
      </c>
      <c r="B2">
        <v>1000000</v>
      </c>
      <c r="C2">
        <v>1</v>
      </c>
      <c r="D2">
        <v>4556</v>
      </c>
      <c r="E2">
        <v>4501</v>
      </c>
      <c r="F2">
        <v>4431</v>
      </c>
      <c r="G2" t="s">
        <v>110</v>
      </c>
      <c r="H2" t="s">
        <v>111</v>
      </c>
      <c r="I2">
        <f>IF(ISNUMBER(G2), G2, SUBSTITUTE(G2, ".", ",")*1)</f>
        <v>271.08083319664001</v>
      </c>
    </row>
    <row r="3" spans="1:9" x14ac:dyDescent="0.3">
      <c r="A3" t="s">
        <v>109</v>
      </c>
      <c r="B3">
        <v>1000000</v>
      </c>
      <c r="C3">
        <v>10</v>
      </c>
      <c r="D3">
        <v>4556</v>
      </c>
      <c r="E3">
        <v>4528</v>
      </c>
      <c r="F3">
        <v>4514</v>
      </c>
      <c r="G3" t="s">
        <v>112</v>
      </c>
      <c r="H3" t="s">
        <v>113</v>
      </c>
      <c r="I3">
        <f t="shared" ref="I3:I33" si="0">IF(ISNUMBER(G3), G3, SUBSTITUTE(G3, ".", ",")*1)</f>
        <v>251.131772756576</v>
      </c>
    </row>
    <row r="4" spans="1:9" x14ac:dyDescent="0.3">
      <c r="A4" t="s">
        <v>109</v>
      </c>
      <c r="B4">
        <v>1000000</v>
      </c>
      <c r="C4">
        <v>15</v>
      </c>
      <c r="D4">
        <v>4556</v>
      </c>
      <c r="E4">
        <v>4532</v>
      </c>
      <c r="F4">
        <v>4476</v>
      </c>
      <c r="G4" t="s">
        <v>114</v>
      </c>
      <c r="H4" t="s">
        <v>115</v>
      </c>
      <c r="I4">
        <f t="shared" si="0"/>
        <v>200.94095134735099</v>
      </c>
    </row>
    <row r="5" spans="1:9" x14ac:dyDescent="0.3">
      <c r="A5" t="s">
        <v>109</v>
      </c>
      <c r="B5">
        <v>1000000</v>
      </c>
      <c r="C5">
        <v>20</v>
      </c>
      <c r="D5">
        <v>4556</v>
      </c>
      <c r="E5">
        <v>4533</v>
      </c>
      <c r="F5">
        <v>4127</v>
      </c>
      <c r="G5" t="s">
        <v>116</v>
      </c>
      <c r="H5" t="s">
        <v>117</v>
      </c>
      <c r="I5">
        <f t="shared" si="0"/>
        <v>267.18316364288302</v>
      </c>
    </row>
    <row r="6" spans="1:9" x14ac:dyDescent="0.3">
      <c r="A6" t="s">
        <v>109</v>
      </c>
      <c r="B6">
        <v>1000000</v>
      </c>
      <c r="C6">
        <v>5</v>
      </c>
      <c r="D6">
        <v>4556</v>
      </c>
      <c r="E6">
        <v>4540</v>
      </c>
      <c r="F6">
        <v>4400</v>
      </c>
      <c r="G6" t="s">
        <v>118</v>
      </c>
      <c r="H6" t="s">
        <v>119</v>
      </c>
      <c r="I6">
        <f t="shared" si="0"/>
        <v>332.25887036323502</v>
      </c>
    </row>
    <row r="7" spans="1:9" x14ac:dyDescent="0.3">
      <c r="A7" t="s">
        <v>109</v>
      </c>
      <c r="B7">
        <v>100000</v>
      </c>
      <c r="C7">
        <v>1</v>
      </c>
      <c r="D7">
        <v>4556</v>
      </c>
      <c r="E7">
        <v>4521</v>
      </c>
      <c r="F7">
        <v>4241</v>
      </c>
      <c r="G7" t="s">
        <v>120</v>
      </c>
      <c r="H7" t="s">
        <v>121</v>
      </c>
      <c r="I7">
        <f t="shared" si="0"/>
        <v>26.6917674541473</v>
      </c>
    </row>
    <row r="8" spans="1:9" x14ac:dyDescent="0.3">
      <c r="A8" t="s">
        <v>109</v>
      </c>
      <c r="B8">
        <v>100000</v>
      </c>
      <c r="C8">
        <v>10</v>
      </c>
      <c r="D8">
        <v>4556</v>
      </c>
      <c r="E8">
        <v>4544</v>
      </c>
      <c r="F8">
        <v>4362</v>
      </c>
      <c r="G8" t="s">
        <v>122</v>
      </c>
      <c r="H8" t="s">
        <v>123</v>
      </c>
      <c r="I8">
        <f t="shared" si="0"/>
        <v>24.0156602859497</v>
      </c>
    </row>
    <row r="9" spans="1:9" x14ac:dyDescent="0.3">
      <c r="A9" t="s">
        <v>109</v>
      </c>
      <c r="B9">
        <v>100000</v>
      </c>
      <c r="C9">
        <v>15</v>
      </c>
      <c r="D9">
        <v>4556</v>
      </c>
      <c r="E9">
        <v>4517</v>
      </c>
      <c r="F9">
        <v>4279</v>
      </c>
      <c r="G9" t="s">
        <v>124</v>
      </c>
      <c r="H9" t="s">
        <v>125</v>
      </c>
      <c r="I9">
        <f t="shared" si="0"/>
        <v>27.432199716567901</v>
      </c>
    </row>
    <row r="10" spans="1:9" x14ac:dyDescent="0.3">
      <c r="A10" t="s">
        <v>109</v>
      </c>
      <c r="B10">
        <v>100000</v>
      </c>
      <c r="C10">
        <v>20</v>
      </c>
      <c r="D10">
        <v>4556</v>
      </c>
      <c r="E10">
        <v>4549</v>
      </c>
      <c r="F10">
        <v>3975</v>
      </c>
      <c r="G10" t="s">
        <v>126</v>
      </c>
      <c r="H10" t="s">
        <v>127</v>
      </c>
      <c r="I10">
        <f t="shared" si="0"/>
        <v>29.744971036911</v>
      </c>
    </row>
    <row r="11" spans="1:9" x14ac:dyDescent="0.3">
      <c r="A11" t="s">
        <v>109</v>
      </c>
      <c r="B11">
        <v>100000</v>
      </c>
      <c r="C11">
        <v>5</v>
      </c>
      <c r="D11">
        <v>4556</v>
      </c>
      <c r="E11">
        <v>4532</v>
      </c>
      <c r="F11">
        <v>4476</v>
      </c>
      <c r="G11" t="s">
        <v>128</v>
      </c>
      <c r="H11" t="s">
        <v>129</v>
      </c>
      <c r="I11">
        <f t="shared" si="0"/>
        <v>24.386036157608</v>
      </c>
    </row>
    <row r="12" spans="1:9" x14ac:dyDescent="0.3">
      <c r="A12" t="s">
        <v>109</v>
      </c>
      <c r="B12">
        <v>10000</v>
      </c>
      <c r="C12">
        <v>1</v>
      </c>
      <c r="D12">
        <v>4556</v>
      </c>
      <c r="E12">
        <v>4528</v>
      </c>
      <c r="F12">
        <v>4514</v>
      </c>
      <c r="G12" t="s">
        <v>130</v>
      </c>
      <c r="H12" t="s">
        <v>131</v>
      </c>
      <c r="I12">
        <f t="shared" si="0"/>
        <v>2.2105422019958398</v>
      </c>
    </row>
    <row r="13" spans="1:9" x14ac:dyDescent="0.3">
      <c r="A13" t="s">
        <v>109</v>
      </c>
      <c r="B13">
        <v>10000</v>
      </c>
      <c r="C13">
        <v>10</v>
      </c>
      <c r="D13">
        <v>4556</v>
      </c>
      <c r="E13">
        <v>4552</v>
      </c>
      <c r="F13">
        <v>4286</v>
      </c>
      <c r="G13" t="s">
        <v>132</v>
      </c>
      <c r="H13" t="s">
        <v>133</v>
      </c>
      <c r="I13">
        <f t="shared" si="0"/>
        <v>2.2732024192810001</v>
      </c>
    </row>
    <row r="14" spans="1:9" x14ac:dyDescent="0.3">
      <c r="A14" t="s">
        <v>109</v>
      </c>
      <c r="B14">
        <v>10000</v>
      </c>
      <c r="C14">
        <v>15</v>
      </c>
      <c r="D14">
        <v>4556</v>
      </c>
      <c r="E14">
        <v>4497</v>
      </c>
      <c r="F14">
        <v>4469</v>
      </c>
      <c r="G14" t="s">
        <v>134</v>
      </c>
      <c r="H14" t="s">
        <v>135</v>
      </c>
      <c r="I14">
        <f t="shared" si="0"/>
        <v>2.7352104187011701</v>
      </c>
    </row>
    <row r="15" spans="1:9" x14ac:dyDescent="0.3">
      <c r="A15" t="s">
        <v>109</v>
      </c>
      <c r="B15">
        <v>10000</v>
      </c>
      <c r="C15">
        <v>20</v>
      </c>
      <c r="D15">
        <v>4556</v>
      </c>
      <c r="E15">
        <v>4545</v>
      </c>
      <c r="F15">
        <v>4013</v>
      </c>
      <c r="G15" t="s">
        <v>136</v>
      </c>
      <c r="H15" t="s">
        <v>137</v>
      </c>
      <c r="I15">
        <f t="shared" si="0"/>
        <v>2.0792889595031698</v>
      </c>
    </row>
    <row r="16" spans="1:9" x14ac:dyDescent="0.3">
      <c r="A16" t="s">
        <v>109</v>
      </c>
      <c r="B16">
        <v>10000</v>
      </c>
      <c r="C16">
        <v>5</v>
      </c>
      <c r="D16">
        <v>4556</v>
      </c>
      <c r="E16">
        <v>4537</v>
      </c>
      <c r="F16">
        <v>4089</v>
      </c>
      <c r="G16" t="s">
        <v>138</v>
      </c>
      <c r="H16" t="s">
        <v>139</v>
      </c>
      <c r="I16">
        <f t="shared" si="0"/>
        <v>1.95346999168396</v>
      </c>
    </row>
    <row r="17" spans="1:9" x14ac:dyDescent="0.3">
      <c r="A17" t="s">
        <v>109</v>
      </c>
      <c r="B17">
        <v>1000</v>
      </c>
      <c r="C17">
        <v>1</v>
      </c>
      <c r="D17">
        <v>4556</v>
      </c>
      <c r="E17">
        <v>4532</v>
      </c>
      <c r="F17">
        <v>4476</v>
      </c>
      <c r="G17" t="s">
        <v>140</v>
      </c>
      <c r="H17" t="s">
        <v>141</v>
      </c>
      <c r="I17">
        <f t="shared" si="0"/>
        <v>0.218687534332275</v>
      </c>
    </row>
    <row r="18" spans="1:9" x14ac:dyDescent="0.3">
      <c r="A18" t="s">
        <v>109</v>
      </c>
      <c r="B18">
        <v>1000</v>
      </c>
      <c r="C18">
        <v>10</v>
      </c>
      <c r="D18">
        <v>4556</v>
      </c>
      <c r="E18">
        <v>4528</v>
      </c>
      <c r="F18">
        <v>4514</v>
      </c>
      <c r="G18" t="s">
        <v>142</v>
      </c>
      <c r="H18" t="s">
        <v>143</v>
      </c>
      <c r="I18">
        <f t="shared" si="0"/>
        <v>0.218238115310668</v>
      </c>
    </row>
    <row r="19" spans="1:9" x14ac:dyDescent="0.3">
      <c r="A19" t="s">
        <v>109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144</v>
      </c>
      <c r="H19" t="s">
        <v>145</v>
      </c>
      <c r="I19">
        <f t="shared" si="0"/>
        <v>0.276690483093261</v>
      </c>
    </row>
    <row r="20" spans="1:9" x14ac:dyDescent="0.3">
      <c r="A20" t="s">
        <v>109</v>
      </c>
      <c r="B20">
        <v>1000</v>
      </c>
      <c r="C20">
        <v>20</v>
      </c>
      <c r="D20">
        <v>4556</v>
      </c>
      <c r="E20">
        <v>4528</v>
      </c>
      <c r="F20">
        <v>4514</v>
      </c>
      <c r="G20" t="s">
        <v>146</v>
      </c>
      <c r="H20" t="s">
        <v>147</v>
      </c>
      <c r="I20">
        <f t="shared" si="0"/>
        <v>0.23788285255432101</v>
      </c>
    </row>
    <row r="21" spans="1:9" x14ac:dyDescent="0.3">
      <c r="A21" t="s">
        <v>109</v>
      </c>
      <c r="B21">
        <v>1000</v>
      </c>
      <c r="C21">
        <v>5</v>
      </c>
      <c r="D21">
        <v>4556</v>
      </c>
      <c r="E21">
        <v>4528</v>
      </c>
      <c r="F21">
        <v>4514</v>
      </c>
      <c r="G21" t="s">
        <v>148</v>
      </c>
      <c r="H21" t="s">
        <v>149</v>
      </c>
      <c r="I21">
        <f t="shared" si="0"/>
        <v>0.291370630264282</v>
      </c>
    </row>
    <row r="22" spans="1:9" x14ac:dyDescent="0.3">
      <c r="A22" t="s">
        <v>109</v>
      </c>
      <c r="B22">
        <v>100</v>
      </c>
      <c r="C22">
        <v>1</v>
      </c>
      <c r="D22">
        <v>4556</v>
      </c>
      <c r="E22">
        <v>4540</v>
      </c>
      <c r="F22">
        <v>4400</v>
      </c>
      <c r="G22" t="s">
        <v>150</v>
      </c>
      <c r="H22" t="s">
        <v>151</v>
      </c>
      <c r="I22">
        <f t="shared" si="0"/>
        <v>2.1034240722656201E-2</v>
      </c>
    </row>
    <row r="23" spans="1:9" x14ac:dyDescent="0.3">
      <c r="A23" t="s">
        <v>109</v>
      </c>
      <c r="B23">
        <v>100</v>
      </c>
      <c r="C23">
        <v>10</v>
      </c>
      <c r="D23">
        <v>4556</v>
      </c>
      <c r="E23">
        <v>4528</v>
      </c>
      <c r="F23">
        <v>4514</v>
      </c>
      <c r="G23" t="s">
        <v>152</v>
      </c>
      <c r="H23" t="s">
        <v>153</v>
      </c>
      <c r="I23">
        <f t="shared" si="0"/>
        <v>3.02066802978515E-2</v>
      </c>
    </row>
    <row r="24" spans="1:9" x14ac:dyDescent="0.3">
      <c r="A24" t="s">
        <v>109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154</v>
      </c>
      <c r="H24" t="s">
        <v>155</v>
      </c>
      <c r="I24">
        <f t="shared" si="0"/>
        <v>2.80330181121826E-2</v>
      </c>
    </row>
    <row r="25" spans="1:9" x14ac:dyDescent="0.3">
      <c r="A25" t="s">
        <v>109</v>
      </c>
      <c r="B25">
        <v>100</v>
      </c>
      <c r="C25">
        <v>20</v>
      </c>
      <c r="D25">
        <v>4556</v>
      </c>
      <c r="E25">
        <v>4528</v>
      </c>
      <c r="F25">
        <v>4514</v>
      </c>
      <c r="G25" t="s">
        <v>156</v>
      </c>
      <c r="H25" t="s">
        <v>157</v>
      </c>
      <c r="I25">
        <f t="shared" si="0"/>
        <v>3.11417579650878E-2</v>
      </c>
    </row>
    <row r="26" spans="1:9" x14ac:dyDescent="0.3">
      <c r="A26" t="s">
        <v>109</v>
      </c>
      <c r="B26">
        <v>100</v>
      </c>
      <c r="C26">
        <v>5</v>
      </c>
      <c r="D26">
        <v>4556</v>
      </c>
      <c r="E26">
        <v>4532</v>
      </c>
      <c r="F26">
        <v>4476</v>
      </c>
      <c r="G26" t="s">
        <v>158</v>
      </c>
      <c r="H26" t="s">
        <v>159</v>
      </c>
      <c r="I26">
        <f t="shared" si="0"/>
        <v>2.60205268859863E-2</v>
      </c>
    </row>
    <row r="27" spans="1:9" x14ac:dyDescent="0.3">
      <c r="A27" t="s">
        <v>109</v>
      </c>
      <c r="B27">
        <v>500000</v>
      </c>
      <c r="C27">
        <v>1</v>
      </c>
      <c r="D27">
        <v>4556</v>
      </c>
      <c r="E27">
        <v>4502</v>
      </c>
      <c r="F27">
        <v>4082</v>
      </c>
      <c r="G27" t="s">
        <v>160</v>
      </c>
      <c r="H27" t="s">
        <v>161</v>
      </c>
      <c r="I27">
        <f t="shared" si="0"/>
        <v>149.513194322586</v>
      </c>
    </row>
    <row r="28" spans="1:9" x14ac:dyDescent="0.3">
      <c r="A28" t="s">
        <v>109</v>
      </c>
      <c r="B28">
        <v>500000</v>
      </c>
      <c r="C28">
        <v>10</v>
      </c>
      <c r="D28">
        <v>4556</v>
      </c>
      <c r="E28">
        <v>4533</v>
      </c>
      <c r="F28">
        <v>4127</v>
      </c>
      <c r="G28" t="s">
        <v>162</v>
      </c>
      <c r="H28" t="s">
        <v>163</v>
      </c>
      <c r="I28">
        <f t="shared" si="0"/>
        <v>117.746054172515</v>
      </c>
    </row>
    <row r="29" spans="1:9" x14ac:dyDescent="0.3">
      <c r="A29" t="s">
        <v>109</v>
      </c>
      <c r="B29">
        <v>500000</v>
      </c>
      <c r="C29">
        <v>15</v>
      </c>
      <c r="D29">
        <v>4556</v>
      </c>
      <c r="E29">
        <v>4532</v>
      </c>
      <c r="F29">
        <v>4476</v>
      </c>
      <c r="G29" t="s">
        <v>164</v>
      </c>
      <c r="H29" t="s">
        <v>165</v>
      </c>
      <c r="I29">
        <f t="shared" si="0"/>
        <v>127.342970371246</v>
      </c>
    </row>
    <row r="30" spans="1:9" x14ac:dyDescent="0.3">
      <c r="A30" t="s">
        <v>109</v>
      </c>
      <c r="B30">
        <v>500000</v>
      </c>
      <c r="C30">
        <v>20</v>
      </c>
      <c r="D30">
        <v>4556</v>
      </c>
      <c r="E30">
        <v>4528</v>
      </c>
      <c r="F30">
        <v>4514</v>
      </c>
      <c r="G30" t="s">
        <v>166</v>
      </c>
      <c r="H30" t="s">
        <v>167</v>
      </c>
      <c r="I30">
        <f t="shared" si="0"/>
        <v>132.48358607292101</v>
      </c>
    </row>
    <row r="31" spans="1:9" x14ac:dyDescent="0.3">
      <c r="A31" t="s">
        <v>109</v>
      </c>
      <c r="B31">
        <v>500000</v>
      </c>
      <c r="C31">
        <v>5</v>
      </c>
      <c r="D31">
        <v>4556</v>
      </c>
      <c r="E31">
        <v>4533</v>
      </c>
      <c r="F31">
        <v>4127</v>
      </c>
      <c r="G31" t="s">
        <v>168</v>
      </c>
      <c r="H31" t="s">
        <v>169</v>
      </c>
      <c r="I31">
        <f t="shared" si="0"/>
        <v>130.343187093734</v>
      </c>
    </row>
    <row r="32" spans="1:9" x14ac:dyDescent="0.3">
      <c r="A32" t="s">
        <v>109</v>
      </c>
      <c r="B32">
        <v>50000</v>
      </c>
      <c r="C32">
        <v>1</v>
      </c>
      <c r="D32">
        <v>4556</v>
      </c>
      <c r="E32">
        <v>4556</v>
      </c>
      <c r="F32">
        <v>4248</v>
      </c>
      <c r="G32" t="s">
        <v>170</v>
      </c>
      <c r="H32" t="s">
        <v>171</v>
      </c>
      <c r="I32">
        <f t="shared" si="0"/>
        <v>10.0252723693847</v>
      </c>
    </row>
    <row r="33" spans="1:9" x14ac:dyDescent="0.3">
      <c r="A33" t="s">
        <v>109</v>
      </c>
      <c r="B33">
        <v>50000</v>
      </c>
      <c r="C33">
        <v>10</v>
      </c>
      <c r="D33">
        <v>4556</v>
      </c>
      <c r="E33">
        <v>4497</v>
      </c>
      <c r="F33">
        <v>4469</v>
      </c>
      <c r="G33" t="s">
        <v>172</v>
      </c>
      <c r="H33" t="s">
        <v>173</v>
      </c>
      <c r="I33">
        <f t="shared" si="0"/>
        <v>14.6338658332824</v>
      </c>
    </row>
    <row r="34" spans="1:9" x14ac:dyDescent="0.3">
      <c r="A34" t="s">
        <v>109</v>
      </c>
      <c r="B34">
        <v>50000</v>
      </c>
      <c r="C34">
        <v>15</v>
      </c>
      <c r="D34">
        <v>4556</v>
      </c>
      <c r="E34">
        <v>4541</v>
      </c>
      <c r="F34">
        <v>4051</v>
      </c>
      <c r="G34" t="s">
        <v>174</v>
      </c>
      <c r="H34" t="s">
        <v>175</v>
      </c>
      <c r="I34">
        <f t="shared" ref="I34:I51" si="1">IF(ISNUMBER(G34), G34, SUBSTITUTE(G34, ".", ",")*1)</f>
        <v>11.297986984252899</v>
      </c>
    </row>
    <row r="35" spans="1:9" x14ac:dyDescent="0.3">
      <c r="A35" t="s">
        <v>109</v>
      </c>
      <c r="B35">
        <v>50000</v>
      </c>
      <c r="C35">
        <v>20</v>
      </c>
      <c r="D35">
        <v>4556</v>
      </c>
      <c r="E35">
        <v>4533</v>
      </c>
      <c r="F35">
        <v>4127</v>
      </c>
      <c r="G35" t="s">
        <v>176</v>
      </c>
      <c r="H35" t="s">
        <v>177</v>
      </c>
      <c r="I35">
        <f t="shared" si="1"/>
        <v>11.255826711654599</v>
      </c>
    </row>
    <row r="36" spans="1:9" x14ac:dyDescent="0.3">
      <c r="A36" t="s">
        <v>109</v>
      </c>
      <c r="B36">
        <v>50000</v>
      </c>
      <c r="C36">
        <v>5</v>
      </c>
      <c r="D36">
        <v>4556</v>
      </c>
      <c r="E36">
        <v>4532</v>
      </c>
      <c r="F36">
        <v>4476</v>
      </c>
      <c r="G36" t="s">
        <v>178</v>
      </c>
      <c r="H36" t="s">
        <v>179</v>
      </c>
      <c r="I36">
        <f t="shared" si="1"/>
        <v>12.470835924148499</v>
      </c>
    </row>
    <row r="37" spans="1:9" x14ac:dyDescent="0.3">
      <c r="A37" t="s">
        <v>109</v>
      </c>
      <c r="B37">
        <v>5000</v>
      </c>
      <c r="C37">
        <v>1</v>
      </c>
      <c r="D37">
        <v>4556</v>
      </c>
      <c r="E37">
        <v>4540</v>
      </c>
      <c r="F37">
        <v>4400</v>
      </c>
      <c r="G37" t="s">
        <v>180</v>
      </c>
      <c r="H37" t="s">
        <v>181</v>
      </c>
      <c r="I37">
        <f t="shared" si="1"/>
        <v>1.03534603118896</v>
      </c>
    </row>
    <row r="38" spans="1:9" x14ac:dyDescent="0.3">
      <c r="A38" t="s">
        <v>109</v>
      </c>
      <c r="B38">
        <v>5000</v>
      </c>
      <c r="C38">
        <v>10</v>
      </c>
      <c r="D38">
        <v>4556</v>
      </c>
      <c r="E38">
        <v>4528</v>
      </c>
      <c r="F38">
        <v>4514</v>
      </c>
      <c r="G38" t="s">
        <v>182</v>
      </c>
      <c r="H38" t="s">
        <v>183</v>
      </c>
      <c r="I38">
        <f t="shared" si="1"/>
        <v>1.20262670516967</v>
      </c>
    </row>
    <row r="39" spans="1:9" x14ac:dyDescent="0.3">
      <c r="A39" t="s">
        <v>109</v>
      </c>
      <c r="B39">
        <v>5000</v>
      </c>
      <c r="C39">
        <v>15</v>
      </c>
      <c r="D39">
        <v>4556</v>
      </c>
      <c r="E39">
        <v>4528</v>
      </c>
      <c r="F39">
        <v>4514</v>
      </c>
      <c r="G39" t="s">
        <v>184</v>
      </c>
      <c r="H39" t="s">
        <v>185</v>
      </c>
      <c r="I39">
        <f t="shared" si="1"/>
        <v>1.0795416831970199</v>
      </c>
    </row>
    <row r="40" spans="1:9" x14ac:dyDescent="0.3">
      <c r="A40" t="s">
        <v>109</v>
      </c>
      <c r="B40">
        <v>5000</v>
      </c>
      <c r="C40">
        <v>20</v>
      </c>
      <c r="D40">
        <v>4556</v>
      </c>
      <c r="E40">
        <v>4528</v>
      </c>
      <c r="F40">
        <v>4514</v>
      </c>
      <c r="G40" t="s">
        <v>186</v>
      </c>
      <c r="H40" t="s">
        <v>187</v>
      </c>
      <c r="I40">
        <f t="shared" si="1"/>
        <v>1.31871533393859</v>
      </c>
    </row>
    <row r="41" spans="1:9" x14ac:dyDescent="0.3">
      <c r="A41" t="s">
        <v>109</v>
      </c>
      <c r="B41">
        <v>5000</v>
      </c>
      <c r="C41">
        <v>5</v>
      </c>
      <c r="D41">
        <v>4556</v>
      </c>
      <c r="E41">
        <v>4497</v>
      </c>
      <c r="F41">
        <v>4469</v>
      </c>
      <c r="G41" t="s">
        <v>188</v>
      </c>
      <c r="H41" t="s">
        <v>189</v>
      </c>
      <c r="I41">
        <f t="shared" si="1"/>
        <v>1.2598962783813401</v>
      </c>
    </row>
    <row r="42" spans="1:9" x14ac:dyDescent="0.3">
      <c r="A42" t="s">
        <v>109</v>
      </c>
      <c r="B42">
        <v>500</v>
      </c>
      <c r="C42">
        <v>1</v>
      </c>
      <c r="D42">
        <v>4556</v>
      </c>
      <c r="E42">
        <v>4532</v>
      </c>
      <c r="F42">
        <v>4476</v>
      </c>
      <c r="G42" t="s">
        <v>190</v>
      </c>
      <c r="H42" t="s">
        <v>191</v>
      </c>
      <c r="I42">
        <f t="shared" si="1"/>
        <v>0.11668062210082999</v>
      </c>
    </row>
    <row r="43" spans="1:9" x14ac:dyDescent="0.3">
      <c r="A43" t="s">
        <v>109</v>
      </c>
      <c r="B43">
        <v>500</v>
      </c>
      <c r="C43">
        <v>10</v>
      </c>
      <c r="D43">
        <v>4556</v>
      </c>
      <c r="E43">
        <v>4544</v>
      </c>
      <c r="F43">
        <v>4362</v>
      </c>
      <c r="G43" t="s">
        <v>192</v>
      </c>
      <c r="H43" t="s">
        <v>193</v>
      </c>
      <c r="I43">
        <f t="shared" si="1"/>
        <v>0.112716674804687</v>
      </c>
    </row>
    <row r="44" spans="1:9" x14ac:dyDescent="0.3">
      <c r="A44" t="s">
        <v>109</v>
      </c>
      <c r="B44">
        <v>500</v>
      </c>
      <c r="C44">
        <v>15</v>
      </c>
      <c r="D44">
        <v>4556</v>
      </c>
      <c r="E44">
        <v>4532</v>
      </c>
      <c r="F44">
        <v>4476</v>
      </c>
      <c r="G44" t="s">
        <v>194</v>
      </c>
      <c r="H44" t="s">
        <v>195</v>
      </c>
      <c r="I44">
        <f t="shared" si="1"/>
        <v>0.10711240768432601</v>
      </c>
    </row>
    <row r="45" spans="1:9" x14ac:dyDescent="0.3">
      <c r="A45" t="s">
        <v>109</v>
      </c>
      <c r="B45">
        <v>500</v>
      </c>
      <c r="C45">
        <v>20</v>
      </c>
      <c r="D45">
        <v>4556</v>
      </c>
      <c r="E45">
        <v>4528</v>
      </c>
      <c r="F45">
        <v>4514</v>
      </c>
      <c r="G45" t="s">
        <v>196</v>
      </c>
      <c r="H45" t="s">
        <v>197</v>
      </c>
      <c r="I45">
        <f t="shared" si="1"/>
        <v>0.132197380065917</v>
      </c>
    </row>
    <row r="46" spans="1:9" x14ac:dyDescent="0.3">
      <c r="A46" t="s">
        <v>109</v>
      </c>
      <c r="B46">
        <v>500</v>
      </c>
      <c r="C46">
        <v>5</v>
      </c>
      <c r="D46">
        <v>4556</v>
      </c>
      <c r="E46">
        <v>4528</v>
      </c>
      <c r="F46">
        <v>4514</v>
      </c>
      <c r="G46" t="s">
        <v>198</v>
      </c>
      <c r="H46" t="s">
        <v>199</v>
      </c>
      <c r="I46">
        <f t="shared" si="1"/>
        <v>0.118488311767578</v>
      </c>
    </row>
    <row r="47" spans="1:9" x14ac:dyDescent="0.3">
      <c r="A47" t="s">
        <v>109</v>
      </c>
      <c r="B47">
        <v>50</v>
      </c>
      <c r="C47">
        <v>1</v>
      </c>
      <c r="D47">
        <v>4556</v>
      </c>
      <c r="E47">
        <v>4532</v>
      </c>
      <c r="F47">
        <v>4476</v>
      </c>
      <c r="G47" t="s">
        <v>200</v>
      </c>
      <c r="H47" t="s">
        <v>201</v>
      </c>
      <c r="I47">
        <f t="shared" si="1"/>
        <v>1.00011825561523E-2</v>
      </c>
    </row>
    <row r="48" spans="1:9" x14ac:dyDescent="0.3">
      <c r="A48" t="s">
        <v>109</v>
      </c>
      <c r="B48">
        <v>50</v>
      </c>
      <c r="C48">
        <v>10</v>
      </c>
      <c r="D48">
        <v>4556</v>
      </c>
      <c r="E48">
        <v>4528</v>
      </c>
      <c r="F48">
        <v>4514</v>
      </c>
      <c r="G48" t="s">
        <v>202</v>
      </c>
      <c r="H48" t="s">
        <v>203</v>
      </c>
      <c r="I48">
        <f t="shared" si="1"/>
        <v>1.45032405853271E-2</v>
      </c>
    </row>
    <row r="49" spans="1:9" x14ac:dyDescent="0.3">
      <c r="A49" t="s">
        <v>109</v>
      </c>
      <c r="B49">
        <v>50</v>
      </c>
      <c r="C49">
        <v>15</v>
      </c>
      <c r="D49">
        <v>4556</v>
      </c>
      <c r="E49">
        <v>4528</v>
      </c>
      <c r="F49">
        <v>4514</v>
      </c>
      <c r="G49" t="s">
        <v>204</v>
      </c>
      <c r="H49" t="s">
        <v>205</v>
      </c>
      <c r="I49">
        <f t="shared" si="1"/>
        <v>1.1999607086181601E-2</v>
      </c>
    </row>
    <row r="50" spans="1:9" x14ac:dyDescent="0.3">
      <c r="A50" t="s">
        <v>109</v>
      </c>
      <c r="B50">
        <v>50</v>
      </c>
      <c r="C50">
        <v>20</v>
      </c>
      <c r="D50">
        <v>4556</v>
      </c>
      <c r="E50">
        <v>4528</v>
      </c>
      <c r="F50">
        <v>4514</v>
      </c>
      <c r="G50" t="s">
        <v>206</v>
      </c>
      <c r="H50" t="s">
        <v>207</v>
      </c>
      <c r="I50">
        <f t="shared" si="1"/>
        <v>1.6999244689941399E-2</v>
      </c>
    </row>
    <row r="51" spans="1:9" x14ac:dyDescent="0.3">
      <c r="A51" t="s">
        <v>109</v>
      </c>
      <c r="B51">
        <v>50</v>
      </c>
      <c r="C51">
        <v>5</v>
      </c>
      <c r="D51">
        <v>4556</v>
      </c>
      <c r="E51">
        <v>4532</v>
      </c>
      <c r="F51">
        <v>4476</v>
      </c>
      <c r="G51" t="s">
        <v>208</v>
      </c>
      <c r="H51" t="s">
        <v>209</v>
      </c>
      <c r="I51">
        <f t="shared" si="1"/>
        <v>1.20341777801513E-2</v>
      </c>
    </row>
    <row r="57" spans="1:9" x14ac:dyDescent="0.3">
      <c r="A57" t="s">
        <v>103</v>
      </c>
      <c r="B57">
        <f>AVERAGE(results_1_fusionné[tps_nb])</f>
        <v>43.823177690505901</v>
      </c>
    </row>
    <row r="58" spans="1:9" x14ac:dyDescent="0.3">
      <c r="A58" t="s">
        <v>104</v>
      </c>
      <c r="B58">
        <f>MAX(results_1_fusionné[Total profit])</f>
        <v>4514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4498.8</v>
      </c>
    </row>
    <row r="62" spans="1:9" x14ac:dyDescent="0.3">
      <c r="A62" s="2">
        <v>100</v>
      </c>
      <c r="B62">
        <v>4460.8</v>
      </c>
    </row>
    <row r="63" spans="1:9" x14ac:dyDescent="0.3">
      <c r="A63" s="2">
        <v>500</v>
      </c>
      <c r="B63">
        <v>4468.3999999999996</v>
      </c>
    </row>
    <row r="64" spans="1:9" x14ac:dyDescent="0.3">
      <c r="A64" s="2">
        <v>1000</v>
      </c>
      <c r="B64">
        <v>4506.3999999999996</v>
      </c>
    </row>
    <row r="65" spans="1:2" x14ac:dyDescent="0.3">
      <c r="A65" s="2">
        <v>5000</v>
      </c>
      <c r="B65">
        <v>4482.2</v>
      </c>
    </row>
    <row r="66" spans="1:2" x14ac:dyDescent="0.3">
      <c r="A66" s="2">
        <v>10000</v>
      </c>
      <c r="B66">
        <v>4274.2</v>
      </c>
    </row>
    <row r="67" spans="1:2" x14ac:dyDescent="0.3">
      <c r="A67" s="2">
        <v>50000</v>
      </c>
      <c r="B67">
        <v>4274.2</v>
      </c>
    </row>
    <row r="68" spans="1:2" x14ac:dyDescent="0.3">
      <c r="A68" s="2">
        <v>100000</v>
      </c>
      <c r="B68">
        <v>4266.6000000000004</v>
      </c>
    </row>
    <row r="69" spans="1:2" x14ac:dyDescent="0.3">
      <c r="A69" s="2">
        <v>500000</v>
      </c>
      <c r="B69">
        <v>4265.2</v>
      </c>
    </row>
    <row r="70" spans="1:2" x14ac:dyDescent="0.3">
      <c r="A70" s="2">
        <v>1000000</v>
      </c>
      <c r="B70">
        <v>4389.6000000000004</v>
      </c>
    </row>
    <row r="71" spans="1:2" x14ac:dyDescent="0.3">
      <c r="A71" s="2" t="s">
        <v>106</v>
      </c>
      <c r="B71">
        <v>4388.6400000000003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4374.3999999999996</v>
      </c>
    </row>
    <row r="79" spans="1:2" x14ac:dyDescent="0.3">
      <c r="A79" s="2">
        <v>5</v>
      </c>
      <c r="B79">
        <v>4401.7</v>
      </c>
    </row>
    <row r="80" spans="1:2" x14ac:dyDescent="0.3">
      <c r="A80" s="2">
        <v>10</v>
      </c>
      <c r="B80">
        <v>4417.6000000000004</v>
      </c>
    </row>
    <row r="81" spans="1:2" x14ac:dyDescent="0.3">
      <c r="A81" s="2">
        <v>15</v>
      </c>
      <c r="B81">
        <v>4416.8999999999996</v>
      </c>
    </row>
    <row r="82" spans="1:2" x14ac:dyDescent="0.3">
      <c r="A82" s="2">
        <v>20</v>
      </c>
      <c r="B82">
        <v>4332.6000000000004</v>
      </c>
    </row>
    <row r="83" spans="1:2" x14ac:dyDescent="0.3">
      <c r="A83" s="2" t="s">
        <v>106</v>
      </c>
      <c r="B83">
        <v>4388.6400000000003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D575-FFD7-4EA1-9652-418A6C30CED6}">
  <dimension ref="A1:I83"/>
  <sheetViews>
    <sheetView workbookViewId="0">
      <selection sqref="A1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607</v>
      </c>
      <c r="B2">
        <v>1000000</v>
      </c>
      <c r="C2">
        <v>1</v>
      </c>
      <c r="D2">
        <v>45132</v>
      </c>
      <c r="E2">
        <v>45120</v>
      </c>
      <c r="F2">
        <v>41228</v>
      </c>
      <c r="G2" t="s">
        <v>608</v>
      </c>
      <c r="H2" t="s">
        <v>609</v>
      </c>
      <c r="I2">
        <f t="shared" ref="I2:I33" si="0">IF(ISNUMBER(G2), G2, SUBSTITUTE(G2, ".", ",")*1)</f>
        <v>5738.0940256118702</v>
      </c>
    </row>
    <row r="3" spans="1:9" x14ac:dyDescent="0.3">
      <c r="A3" t="s">
        <v>607</v>
      </c>
      <c r="B3">
        <v>1000000</v>
      </c>
      <c r="C3">
        <v>10</v>
      </c>
      <c r="D3">
        <v>45132</v>
      </c>
      <c r="E3">
        <v>45115</v>
      </c>
      <c r="F3">
        <v>41615</v>
      </c>
      <c r="G3" t="s">
        <v>610</v>
      </c>
      <c r="H3" t="s">
        <v>611</v>
      </c>
      <c r="I3">
        <f t="shared" si="0"/>
        <v>7653.2118065357199</v>
      </c>
    </row>
    <row r="4" spans="1:9" x14ac:dyDescent="0.3">
      <c r="A4" t="s">
        <v>607</v>
      </c>
      <c r="B4">
        <v>1000000</v>
      </c>
      <c r="C4">
        <v>15</v>
      </c>
      <c r="D4">
        <v>45132</v>
      </c>
      <c r="E4">
        <v>45126</v>
      </c>
      <c r="F4">
        <v>41850</v>
      </c>
      <c r="G4" t="s">
        <v>612</v>
      </c>
      <c r="H4" t="s">
        <v>613</v>
      </c>
      <c r="I4">
        <f t="shared" si="0"/>
        <v>6830.5270066261201</v>
      </c>
    </row>
    <row r="5" spans="1:9" x14ac:dyDescent="0.3">
      <c r="A5" t="s">
        <v>607</v>
      </c>
      <c r="B5">
        <v>1000000</v>
      </c>
      <c r="C5">
        <v>20</v>
      </c>
      <c r="D5">
        <v>45132</v>
      </c>
      <c r="E5">
        <v>45103</v>
      </c>
      <c r="F5">
        <v>41729</v>
      </c>
      <c r="G5" t="s">
        <v>614</v>
      </c>
      <c r="H5" t="s">
        <v>615</v>
      </c>
      <c r="I5">
        <f t="shared" si="0"/>
        <v>7537.8804440498297</v>
      </c>
    </row>
    <row r="6" spans="1:9" x14ac:dyDescent="0.3">
      <c r="A6" t="s">
        <v>607</v>
      </c>
      <c r="B6">
        <v>1000000</v>
      </c>
      <c r="C6">
        <v>5</v>
      </c>
      <c r="D6">
        <v>45132</v>
      </c>
      <c r="E6">
        <v>45103</v>
      </c>
      <c r="F6">
        <v>41729</v>
      </c>
      <c r="G6" t="s">
        <v>616</v>
      </c>
      <c r="H6" t="s">
        <v>617</v>
      </c>
      <c r="I6">
        <f t="shared" si="0"/>
        <v>7088.7498173713602</v>
      </c>
    </row>
    <row r="7" spans="1:9" x14ac:dyDescent="0.3">
      <c r="A7" t="s">
        <v>607</v>
      </c>
      <c r="B7">
        <v>100000</v>
      </c>
      <c r="C7">
        <v>1</v>
      </c>
      <c r="D7">
        <v>45132</v>
      </c>
      <c r="E7">
        <v>45102</v>
      </c>
      <c r="F7">
        <v>42078</v>
      </c>
      <c r="G7" t="s">
        <v>618</v>
      </c>
      <c r="H7" t="s">
        <v>619</v>
      </c>
      <c r="I7">
        <f t="shared" si="0"/>
        <v>533.975054979324</v>
      </c>
    </row>
    <row r="8" spans="1:9" x14ac:dyDescent="0.3">
      <c r="A8" t="s">
        <v>607</v>
      </c>
      <c r="B8">
        <v>100000</v>
      </c>
      <c r="C8">
        <v>10</v>
      </c>
      <c r="D8">
        <v>45132</v>
      </c>
      <c r="E8">
        <v>45106</v>
      </c>
      <c r="F8">
        <v>42040</v>
      </c>
      <c r="G8" t="s">
        <v>620</v>
      </c>
      <c r="H8" t="s">
        <v>621</v>
      </c>
      <c r="I8">
        <f t="shared" si="0"/>
        <v>563.54561185836701</v>
      </c>
    </row>
    <row r="9" spans="1:9" x14ac:dyDescent="0.3">
      <c r="A9" t="s">
        <v>607</v>
      </c>
      <c r="B9">
        <v>100000</v>
      </c>
      <c r="C9">
        <v>15</v>
      </c>
      <c r="D9">
        <v>45132</v>
      </c>
      <c r="E9">
        <v>45120</v>
      </c>
      <c r="F9">
        <v>41228</v>
      </c>
      <c r="G9" t="s">
        <v>622</v>
      </c>
      <c r="H9" t="s">
        <v>623</v>
      </c>
      <c r="I9">
        <f t="shared" si="0"/>
        <v>620.33230471611</v>
      </c>
    </row>
    <row r="10" spans="1:9" x14ac:dyDescent="0.3">
      <c r="A10" t="s">
        <v>607</v>
      </c>
      <c r="B10">
        <v>100000</v>
      </c>
      <c r="C10">
        <v>20</v>
      </c>
      <c r="D10">
        <v>45132</v>
      </c>
      <c r="E10">
        <v>45122</v>
      </c>
      <c r="F10">
        <v>40530</v>
      </c>
      <c r="G10" t="s">
        <v>624</v>
      </c>
      <c r="H10" t="s">
        <v>625</v>
      </c>
      <c r="I10">
        <f t="shared" si="0"/>
        <v>628.82846164703301</v>
      </c>
    </row>
    <row r="11" spans="1:9" x14ac:dyDescent="0.3">
      <c r="A11" t="s">
        <v>607</v>
      </c>
      <c r="B11">
        <v>100000</v>
      </c>
      <c r="C11">
        <v>5</v>
      </c>
      <c r="D11">
        <v>45132</v>
      </c>
      <c r="E11">
        <v>45118</v>
      </c>
      <c r="F11">
        <v>41926</v>
      </c>
      <c r="G11" t="s">
        <v>626</v>
      </c>
      <c r="H11" t="s">
        <v>627</v>
      </c>
      <c r="I11">
        <f t="shared" si="0"/>
        <v>557.23858928680397</v>
      </c>
    </row>
    <row r="12" spans="1:9" x14ac:dyDescent="0.3">
      <c r="A12" t="s">
        <v>607</v>
      </c>
      <c r="B12">
        <v>10000</v>
      </c>
      <c r="C12">
        <v>1</v>
      </c>
      <c r="D12">
        <v>45132</v>
      </c>
      <c r="E12">
        <v>45126</v>
      </c>
      <c r="F12">
        <v>41850</v>
      </c>
      <c r="G12" t="s">
        <v>628</v>
      </c>
      <c r="H12" t="s">
        <v>629</v>
      </c>
      <c r="I12">
        <f t="shared" si="0"/>
        <v>54.791724443435598</v>
      </c>
    </row>
    <row r="13" spans="1:9" x14ac:dyDescent="0.3">
      <c r="A13" t="s">
        <v>607</v>
      </c>
      <c r="B13">
        <v>10000</v>
      </c>
      <c r="C13">
        <v>10</v>
      </c>
      <c r="D13">
        <v>45132</v>
      </c>
      <c r="E13">
        <v>45104</v>
      </c>
      <c r="F13">
        <v>41380</v>
      </c>
      <c r="G13" t="s">
        <v>630</v>
      </c>
      <c r="H13" t="s">
        <v>631</v>
      </c>
      <c r="I13">
        <f t="shared" si="0"/>
        <v>61.280794382095301</v>
      </c>
    </row>
    <row r="14" spans="1:9" x14ac:dyDescent="0.3">
      <c r="A14" t="s">
        <v>607</v>
      </c>
      <c r="B14">
        <v>10000</v>
      </c>
      <c r="C14">
        <v>15</v>
      </c>
      <c r="D14">
        <v>45132</v>
      </c>
      <c r="E14">
        <v>45110</v>
      </c>
      <c r="F14">
        <v>42002</v>
      </c>
      <c r="G14" t="s">
        <v>632</v>
      </c>
      <c r="H14" t="s">
        <v>633</v>
      </c>
      <c r="I14">
        <f t="shared" si="0"/>
        <v>55.409912109375</v>
      </c>
    </row>
    <row r="15" spans="1:9" x14ac:dyDescent="0.3">
      <c r="A15" t="s">
        <v>607</v>
      </c>
      <c r="B15">
        <v>10000</v>
      </c>
      <c r="C15">
        <v>20</v>
      </c>
      <c r="D15">
        <v>45132</v>
      </c>
      <c r="E15">
        <v>45129</v>
      </c>
      <c r="F15">
        <v>42161</v>
      </c>
      <c r="G15" t="s">
        <v>634</v>
      </c>
      <c r="H15" t="s">
        <v>635</v>
      </c>
      <c r="I15">
        <f t="shared" si="0"/>
        <v>59.224606752395601</v>
      </c>
    </row>
    <row r="16" spans="1:9" x14ac:dyDescent="0.3">
      <c r="A16" t="s">
        <v>607</v>
      </c>
      <c r="B16">
        <v>10000</v>
      </c>
      <c r="C16">
        <v>5</v>
      </c>
      <c r="D16">
        <v>45132</v>
      </c>
      <c r="E16">
        <v>45132</v>
      </c>
      <c r="F16">
        <v>41114</v>
      </c>
      <c r="G16" t="s">
        <v>636</v>
      </c>
      <c r="H16" t="s">
        <v>637</v>
      </c>
      <c r="I16">
        <f t="shared" si="0"/>
        <v>58.187979221344001</v>
      </c>
    </row>
    <row r="17" spans="1:9" x14ac:dyDescent="0.3">
      <c r="A17" t="s">
        <v>607</v>
      </c>
      <c r="B17">
        <v>1000</v>
      </c>
      <c r="C17">
        <v>1</v>
      </c>
      <c r="D17">
        <v>45132</v>
      </c>
      <c r="E17">
        <v>45106</v>
      </c>
      <c r="F17">
        <v>42040</v>
      </c>
      <c r="G17" t="s">
        <v>638</v>
      </c>
      <c r="H17" t="s">
        <v>639</v>
      </c>
      <c r="I17">
        <f t="shared" si="0"/>
        <v>5.3021111488342196</v>
      </c>
    </row>
    <row r="18" spans="1:9" x14ac:dyDescent="0.3">
      <c r="A18" t="s">
        <v>607</v>
      </c>
      <c r="B18">
        <v>1000</v>
      </c>
      <c r="C18">
        <v>10</v>
      </c>
      <c r="D18">
        <v>45132</v>
      </c>
      <c r="E18">
        <v>45106</v>
      </c>
      <c r="F18">
        <v>42040</v>
      </c>
      <c r="G18" t="s">
        <v>640</v>
      </c>
      <c r="H18" t="s">
        <v>641</v>
      </c>
      <c r="I18">
        <f t="shared" si="0"/>
        <v>5.9928936958312899</v>
      </c>
    </row>
    <row r="19" spans="1:9" x14ac:dyDescent="0.3">
      <c r="A19" t="s">
        <v>607</v>
      </c>
      <c r="B19">
        <v>1000</v>
      </c>
      <c r="C19">
        <v>15</v>
      </c>
      <c r="D19">
        <v>45132</v>
      </c>
      <c r="E19">
        <v>45114</v>
      </c>
      <c r="F19">
        <v>41964</v>
      </c>
      <c r="G19" t="s">
        <v>642</v>
      </c>
      <c r="H19" t="s">
        <v>643</v>
      </c>
      <c r="I19">
        <f t="shared" si="0"/>
        <v>6.0485684871673504</v>
      </c>
    </row>
    <row r="20" spans="1:9" x14ac:dyDescent="0.3">
      <c r="A20" t="s">
        <v>607</v>
      </c>
      <c r="B20">
        <v>1000</v>
      </c>
      <c r="C20">
        <v>20</v>
      </c>
      <c r="D20">
        <v>45132</v>
      </c>
      <c r="E20">
        <v>45122</v>
      </c>
      <c r="F20">
        <v>41888</v>
      </c>
      <c r="G20" t="s">
        <v>644</v>
      </c>
      <c r="H20" t="s">
        <v>645</v>
      </c>
      <c r="I20">
        <f t="shared" si="0"/>
        <v>5.8622932434081996</v>
      </c>
    </row>
    <row r="21" spans="1:9" x14ac:dyDescent="0.3">
      <c r="A21" t="s">
        <v>607</v>
      </c>
      <c r="B21">
        <v>1000</v>
      </c>
      <c r="C21">
        <v>5</v>
      </c>
      <c r="D21">
        <v>45132</v>
      </c>
      <c r="E21">
        <v>45125</v>
      </c>
      <c r="F21">
        <v>42199</v>
      </c>
      <c r="G21" t="s">
        <v>646</v>
      </c>
      <c r="H21" t="s">
        <v>647</v>
      </c>
      <c r="I21">
        <f t="shared" si="0"/>
        <v>5.1473512649536097</v>
      </c>
    </row>
    <row r="22" spans="1:9" x14ac:dyDescent="0.3">
      <c r="A22" t="s">
        <v>607</v>
      </c>
      <c r="B22">
        <v>100</v>
      </c>
      <c r="C22">
        <v>1</v>
      </c>
      <c r="D22">
        <v>45132</v>
      </c>
      <c r="E22">
        <v>45130</v>
      </c>
      <c r="F22">
        <v>41812</v>
      </c>
      <c r="G22" t="s">
        <v>648</v>
      </c>
      <c r="H22" t="s">
        <v>649</v>
      </c>
      <c r="I22">
        <f t="shared" si="0"/>
        <v>0.55197405815124501</v>
      </c>
    </row>
    <row r="23" spans="1:9" x14ac:dyDescent="0.3">
      <c r="A23" t="s">
        <v>607</v>
      </c>
      <c r="B23">
        <v>100</v>
      </c>
      <c r="C23">
        <v>10</v>
      </c>
      <c r="D23">
        <v>45132</v>
      </c>
      <c r="E23">
        <v>45118</v>
      </c>
      <c r="F23">
        <v>41926</v>
      </c>
      <c r="G23" t="s">
        <v>650</v>
      </c>
      <c r="H23" t="s">
        <v>651</v>
      </c>
      <c r="I23">
        <f t="shared" si="0"/>
        <v>0.498184204101562</v>
      </c>
    </row>
    <row r="24" spans="1:9" x14ac:dyDescent="0.3">
      <c r="A24" t="s">
        <v>607</v>
      </c>
      <c r="B24">
        <v>100</v>
      </c>
      <c r="C24">
        <v>15</v>
      </c>
      <c r="D24">
        <v>45132</v>
      </c>
      <c r="E24">
        <v>45118</v>
      </c>
      <c r="F24">
        <v>41926</v>
      </c>
      <c r="G24" t="s">
        <v>652</v>
      </c>
      <c r="H24" t="s">
        <v>653</v>
      </c>
      <c r="I24">
        <f t="shared" si="0"/>
        <v>0.59089541435241699</v>
      </c>
    </row>
    <row r="25" spans="1:9" x14ac:dyDescent="0.3">
      <c r="A25" t="s">
        <v>607</v>
      </c>
      <c r="B25">
        <v>100</v>
      </c>
      <c r="C25">
        <v>20</v>
      </c>
      <c r="D25">
        <v>45132</v>
      </c>
      <c r="E25">
        <v>45121</v>
      </c>
      <c r="F25">
        <v>42237</v>
      </c>
      <c r="G25" t="s">
        <v>654</v>
      </c>
      <c r="H25" t="s">
        <v>655</v>
      </c>
      <c r="I25">
        <f t="shared" si="0"/>
        <v>0.66374969482421797</v>
      </c>
    </row>
    <row r="26" spans="1:9" x14ac:dyDescent="0.3">
      <c r="A26" t="s">
        <v>607</v>
      </c>
      <c r="B26">
        <v>100</v>
      </c>
      <c r="C26">
        <v>5</v>
      </c>
      <c r="D26">
        <v>45132</v>
      </c>
      <c r="E26">
        <v>45127</v>
      </c>
      <c r="F26">
        <v>42859</v>
      </c>
      <c r="G26" t="s">
        <v>656</v>
      </c>
      <c r="H26" t="s">
        <v>657</v>
      </c>
      <c r="I26">
        <f t="shared" si="0"/>
        <v>0.56095457077026301</v>
      </c>
    </row>
    <row r="27" spans="1:9" x14ac:dyDescent="0.3">
      <c r="A27" t="s">
        <v>607</v>
      </c>
      <c r="B27">
        <v>500000</v>
      </c>
      <c r="C27">
        <v>1</v>
      </c>
      <c r="D27">
        <v>45132</v>
      </c>
      <c r="E27">
        <v>45117</v>
      </c>
      <c r="F27">
        <v>40917</v>
      </c>
      <c r="G27" t="s">
        <v>658</v>
      </c>
      <c r="H27" t="s">
        <v>659</v>
      </c>
      <c r="I27">
        <f t="shared" si="0"/>
        <v>3163.2352592945099</v>
      </c>
    </row>
    <row r="28" spans="1:9" x14ac:dyDescent="0.3">
      <c r="A28" t="s">
        <v>607</v>
      </c>
      <c r="B28">
        <v>500000</v>
      </c>
      <c r="C28">
        <v>10</v>
      </c>
      <c r="D28">
        <v>45132</v>
      </c>
      <c r="E28">
        <v>45118</v>
      </c>
      <c r="F28">
        <v>40568</v>
      </c>
      <c r="G28" t="s">
        <v>660</v>
      </c>
      <c r="H28" t="s">
        <v>661</v>
      </c>
      <c r="I28">
        <f t="shared" si="0"/>
        <v>2884.5740199089</v>
      </c>
    </row>
    <row r="29" spans="1:9" x14ac:dyDescent="0.3">
      <c r="A29" t="s">
        <v>607</v>
      </c>
      <c r="B29">
        <v>500000</v>
      </c>
      <c r="C29">
        <v>15</v>
      </c>
      <c r="D29">
        <v>45132</v>
      </c>
      <c r="E29">
        <v>45128</v>
      </c>
      <c r="F29">
        <v>41152</v>
      </c>
      <c r="G29" t="s">
        <v>662</v>
      </c>
      <c r="H29" t="s">
        <v>663</v>
      </c>
      <c r="I29">
        <f t="shared" si="0"/>
        <v>2891.4313554763698</v>
      </c>
    </row>
    <row r="30" spans="1:9" x14ac:dyDescent="0.3">
      <c r="A30" t="s">
        <v>607</v>
      </c>
      <c r="B30">
        <v>500000</v>
      </c>
      <c r="C30">
        <v>20</v>
      </c>
      <c r="D30">
        <v>45132</v>
      </c>
      <c r="E30">
        <v>45127</v>
      </c>
      <c r="F30">
        <v>41501</v>
      </c>
      <c r="G30" t="s">
        <v>664</v>
      </c>
      <c r="H30" t="s">
        <v>665</v>
      </c>
      <c r="I30">
        <f t="shared" si="0"/>
        <v>3018.80252599716</v>
      </c>
    </row>
    <row r="31" spans="1:9" x14ac:dyDescent="0.3">
      <c r="A31" t="s">
        <v>607</v>
      </c>
      <c r="B31">
        <v>500000</v>
      </c>
      <c r="C31">
        <v>5</v>
      </c>
      <c r="D31">
        <v>45132</v>
      </c>
      <c r="E31">
        <v>45103</v>
      </c>
      <c r="F31">
        <v>41729</v>
      </c>
      <c r="G31" t="s">
        <v>666</v>
      </c>
      <c r="H31" t="s">
        <v>667</v>
      </c>
      <c r="I31">
        <f t="shared" si="0"/>
        <v>2712.39259314537</v>
      </c>
    </row>
    <row r="32" spans="1:9" x14ac:dyDescent="0.3">
      <c r="A32" t="s">
        <v>607</v>
      </c>
      <c r="B32">
        <v>50000</v>
      </c>
      <c r="C32">
        <v>1</v>
      </c>
      <c r="D32">
        <v>45132</v>
      </c>
      <c r="E32">
        <v>45105</v>
      </c>
      <c r="F32">
        <v>42389</v>
      </c>
      <c r="G32" t="s">
        <v>668</v>
      </c>
      <c r="H32" t="s">
        <v>669</v>
      </c>
      <c r="I32">
        <f t="shared" si="0"/>
        <v>257.00438022613503</v>
      </c>
    </row>
    <row r="33" spans="1:9" x14ac:dyDescent="0.3">
      <c r="A33" t="s">
        <v>607</v>
      </c>
      <c r="B33">
        <v>50000</v>
      </c>
      <c r="C33">
        <v>10</v>
      </c>
      <c r="D33">
        <v>45132</v>
      </c>
      <c r="E33">
        <v>45119</v>
      </c>
      <c r="F33">
        <v>41577</v>
      </c>
      <c r="G33" t="s">
        <v>670</v>
      </c>
      <c r="H33" t="s">
        <v>671</v>
      </c>
      <c r="I33">
        <f t="shared" si="0"/>
        <v>280.20613670349098</v>
      </c>
    </row>
    <row r="34" spans="1:9" x14ac:dyDescent="0.3">
      <c r="A34" t="s">
        <v>607</v>
      </c>
      <c r="B34">
        <v>50000</v>
      </c>
      <c r="C34">
        <v>15</v>
      </c>
      <c r="D34">
        <v>45132</v>
      </c>
      <c r="E34">
        <v>45100</v>
      </c>
      <c r="F34">
        <v>41418</v>
      </c>
      <c r="G34" t="s">
        <v>672</v>
      </c>
      <c r="H34" t="s">
        <v>673</v>
      </c>
      <c r="I34">
        <f t="shared" ref="I34:I51" si="1">IF(ISNUMBER(G34), G34, SUBSTITUTE(G34, ".", ",")*1)</f>
        <v>341.36445689201298</v>
      </c>
    </row>
    <row r="35" spans="1:9" x14ac:dyDescent="0.3">
      <c r="A35" t="s">
        <v>607</v>
      </c>
      <c r="B35">
        <v>50000</v>
      </c>
      <c r="C35">
        <v>20</v>
      </c>
      <c r="D35">
        <v>45132</v>
      </c>
      <c r="E35">
        <v>45130</v>
      </c>
      <c r="F35">
        <v>41812</v>
      </c>
      <c r="G35" t="s">
        <v>674</v>
      </c>
      <c r="H35" t="s">
        <v>675</v>
      </c>
      <c r="I35">
        <f t="shared" si="1"/>
        <v>303.13228058815002</v>
      </c>
    </row>
    <row r="36" spans="1:9" x14ac:dyDescent="0.3">
      <c r="A36" t="s">
        <v>607</v>
      </c>
      <c r="B36">
        <v>50000</v>
      </c>
      <c r="C36">
        <v>5</v>
      </c>
      <c r="D36">
        <v>45132</v>
      </c>
      <c r="E36">
        <v>45105</v>
      </c>
      <c r="F36">
        <v>41031</v>
      </c>
      <c r="G36" t="s">
        <v>676</v>
      </c>
      <c r="H36" t="s">
        <v>677</v>
      </c>
      <c r="I36">
        <f t="shared" si="1"/>
        <v>277.540341854095</v>
      </c>
    </row>
    <row r="37" spans="1:9" x14ac:dyDescent="0.3">
      <c r="A37" t="s">
        <v>607</v>
      </c>
      <c r="B37">
        <v>5000</v>
      </c>
      <c r="C37">
        <v>1</v>
      </c>
      <c r="D37">
        <v>45132</v>
      </c>
      <c r="E37">
        <v>45109</v>
      </c>
      <c r="F37">
        <v>42351</v>
      </c>
      <c r="G37" t="s">
        <v>678</v>
      </c>
      <c r="H37" t="s">
        <v>679</v>
      </c>
      <c r="I37">
        <f t="shared" si="1"/>
        <v>25.894452810287401</v>
      </c>
    </row>
    <row r="38" spans="1:9" x14ac:dyDescent="0.3">
      <c r="A38" t="s">
        <v>607</v>
      </c>
      <c r="B38">
        <v>5000</v>
      </c>
      <c r="C38">
        <v>10</v>
      </c>
      <c r="D38">
        <v>45132</v>
      </c>
      <c r="E38">
        <v>45117</v>
      </c>
      <c r="F38">
        <v>42275</v>
      </c>
      <c r="G38" t="s">
        <v>680</v>
      </c>
      <c r="H38" t="s">
        <v>681</v>
      </c>
      <c r="I38">
        <f t="shared" si="1"/>
        <v>29.2493028640747</v>
      </c>
    </row>
    <row r="39" spans="1:9" x14ac:dyDescent="0.3">
      <c r="A39" t="s">
        <v>607</v>
      </c>
      <c r="B39">
        <v>5000</v>
      </c>
      <c r="C39">
        <v>15</v>
      </c>
      <c r="D39">
        <v>45132</v>
      </c>
      <c r="E39">
        <v>45114</v>
      </c>
      <c r="F39">
        <v>41964</v>
      </c>
      <c r="G39" t="s">
        <v>682</v>
      </c>
      <c r="H39" t="s">
        <v>683</v>
      </c>
      <c r="I39">
        <f t="shared" si="1"/>
        <v>28.646522521972599</v>
      </c>
    </row>
    <row r="40" spans="1:9" x14ac:dyDescent="0.3">
      <c r="A40" t="s">
        <v>607</v>
      </c>
      <c r="B40">
        <v>5000</v>
      </c>
      <c r="C40">
        <v>20</v>
      </c>
      <c r="D40">
        <v>45132</v>
      </c>
      <c r="E40">
        <v>45125</v>
      </c>
      <c r="F40">
        <v>42199</v>
      </c>
      <c r="G40" t="s">
        <v>684</v>
      </c>
      <c r="H40" t="s">
        <v>685</v>
      </c>
      <c r="I40">
        <f t="shared" si="1"/>
        <v>27.1292965412139</v>
      </c>
    </row>
    <row r="41" spans="1:9" x14ac:dyDescent="0.3">
      <c r="A41" t="s">
        <v>607</v>
      </c>
      <c r="B41">
        <v>5000</v>
      </c>
      <c r="C41">
        <v>5</v>
      </c>
      <c r="D41">
        <v>45132</v>
      </c>
      <c r="E41">
        <v>45129</v>
      </c>
      <c r="F41">
        <v>42161</v>
      </c>
      <c r="G41" t="s">
        <v>686</v>
      </c>
      <c r="H41" t="s">
        <v>687</v>
      </c>
      <c r="I41">
        <f t="shared" si="1"/>
        <v>29.7490377426147</v>
      </c>
    </row>
    <row r="42" spans="1:9" x14ac:dyDescent="0.3">
      <c r="A42" t="s">
        <v>607</v>
      </c>
      <c r="B42">
        <v>500</v>
      </c>
      <c r="C42">
        <v>1</v>
      </c>
      <c r="D42">
        <v>45132</v>
      </c>
      <c r="E42">
        <v>45117</v>
      </c>
      <c r="F42">
        <v>42275</v>
      </c>
      <c r="G42" t="s">
        <v>688</v>
      </c>
      <c r="H42" t="s">
        <v>689</v>
      </c>
      <c r="I42">
        <f t="shared" si="1"/>
        <v>2.6349225044250399</v>
      </c>
    </row>
    <row r="43" spans="1:9" x14ac:dyDescent="0.3">
      <c r="A43" t="s">
        <v>607</v>
      </c>
      <c r="B43">
        <v>500</v>
      </c>
      <c r="C43">
        <v>10</v>
      </c>
      <c r="D43">
        <v>45132</v>
      </c>
      <c r="E43">
        <v>45120</v>
      </c>
      <c r="F43">
        <v>42586</v>
      </c>
      <c r="G43" t="s">
        <v>690</v>
      </c>
      <c r="H43" t="s">
        <v>691</v>
      </c>
      <c r="I43">
        <f t="shared" si="1"/>
        <v>2.9378015995025599</v>
      </c>
    </row>
    <row r="44" spans="1:9" x14ac:dyDescent="0.3">
      <c r="A44" t="s">
        <v>607</v>
      </c>
      <c r="B44">
        <v>500</v>
      </c>
      <c r="C44">
        <v>15</v>
      </c>
      <c r="D44">
        <v>45132</v>
      </c>
      <c r="E44">
        <v>45114</v>
      </c>
      <c r="F44">
        <v>41964</v>
      </c>
      <c r="G44" t="s">
        <v>692</v>
      </c>
      <c r="H44" t="s">
        <v>693</v>
      </c>
      <c r="I44">
        <f t="shared" si="1"/>
        <v>2.9676554203033398</v>
      </c>
    </row>
    <row r="45" spans="1:9" x14ac:dyDescent="0.3">
      <c r="A45" t="s">
        <v>607</v>
      </c>
      <c r="B45">
        <v>500</v>
      </c>
      <c r="C45">
        <v>20</v>
      </c>
      <c r="D45">
        <v>45132</v>
      </c>
      <c r="E45">
        <v>45122</v>
      </c>
      <c r="F45">
        <v>41888</v>
      </c>
      <c r="G45" t="s">
        <v>694</v>
      </c>
      <c r="H45" t="s">
        <v>695</v>
      </c>
      <c r="I45">
        <f t="shared" si="1"/>
        <v>3.1270980834960902</v>
      </c>
    </row>
    <row r="46" spans="1:9" x14ac:dyDescent="0.3">
      <c r="A46" t="s">
        <v>607</v>
      </c>
      <c r="B46">
        <v>500</v>
      </c>
      <c r="C46">
        <v>5</v>
      </c>
      <c r="D46">
        <v>45132</v>
      </c>
      <c r="E46">
        <v>45132</v>
      </c>
      <c r="F46">
        <v>42472</v>
      </c>
      <c r="G46" t="s">
        <v>696</v>
      </c>
      <c r="H46" t="s">
        <v>697</v>
      </c>
      <c r="I46">
        <f t="shared" si="1"/>
        <v>2.7156744003295898</v>
      </c>
    </row>
    <row r="47" spans="1:9" x14ac:dyDescent="0.3">
      <c r="A47" t="s">
        <v>607</v>
      </c>
      <c r="B47">
        <v>50</v>
      </c>
      <c r="C47">
        <v>1</v>
      </c>
      <c r="D47">
        <v>45132</v>
      </c>
      <c r="E47">
        <v>45106</v>
      </c>
      <c r="F47">
        <v>42040</v>
      </c>
      <c r="G47" t="s">
        <v>698</v>
      </c>
      <c r="H47" t="s">
        <v>699</v>
      </c>
      <c r="I47">
        <f t="shared" si="1"/>
        <v>0.29837274551391602</v>
      </c>
    </row>
    <row r="48" spans="1:9" x14ac:dyDescent="0.3">
      <c r="A48" t="s">
        <v>607</v>
      </c>
      <c r="B48">
        <v>50</v>
      </c>
      <c r="C48">
        <v>10</v>
      </c>
      <c r="D48">
        <v>45132</v>
      </c>
      <c r="E48">
        <v>45130</v>
      </c>
      <c r="F48">
        <v>41812</v>
      </c>
      <c r="G48" t="s">
        <v>700</v>
      </c>
      <c r="H48" t="s">
        <v>701</v>
      </c>
      <c r="I48">
        <f t="shared" si="1"/>
        <v>0.34205269813537598</v>
      </c>
    </row>
    <row r="49" spans="1:9" x14ac:dyDescent="0.3">
      <c r="A49" t="s">
        <v>607</v>
      </c>
      <c r="B49">
        <v>50</v>
      </c>
      <c r="C49">
        <v>15</v>
      </c>
      <c r="D49">
        <v>45132</v>
      </c>
      <c r="E49">
        <v>45126</v>
      </c>
      <c r="F49">
        <v>41850</v>
      </c>
      <c r="G49" t="s">
        <v>702</v>
      </c>
      <c r="H49" t="s">
        <v>703</v>
      </c>
      <c r="I49">
        <f t="shared" si="1"/>
        <v>0.26148557662963801</v>
      </c>
    </row>
    <row r="50" spans="1:9" x14ac:dyDescent="0.3">
      <c r="A50" t="s">
        <v>607</v>
      </c>
      <c r="B50">
        <v>50</v>
      </c>
      <c r="C50">
        <v>20</v>
      </c>
      <c r="D50">
        <v>45132</v>
      </c>
      <c r="E50">
        <v>45130</v>
      </c>
      <c r="F50">
        <v>41812</v>
      </c>
      <c r="G50" t="s">
        <v>704</v>
      </c>
      <c r="H50" t="s">
        <v>705</v>
      </c>
      <c r="I50">
        <f t="shared" si="1"/>
        <v>0.32550287246704102</v>
      </c>
    </row>
    <row r="51" spans="1:9" x14ac:dyDescent="0.3">
      <c r="A51" t="s">
        <v>607</v>
      </c>
      <c r="B51">
        <v>50</v>
      </c>
      <c r="C51">
        <v>5</v>
      </c>
      <c r="D51">
        <v>45132</v>
      </c>
      <c r="E51">
        <v>45102</v>
      </c>
      <c r="F51">
        <v>42078</v>
      </c>
      <c r="G51" t="s">
        <v>706</v>
      </c>
      <c r="H51" t="s">
        <v>707</v>
      </c>
      <c r="I51">
        <f t="shared" si="1"/>
        <v>0.27991342544555597</v>
      </c>
    </row>
    <row r="57" spans="1:9" x14ac:dyDescent="0.3">
      <c r="A57" t="s">
        <v>103</v>
      </c>
      <c r="B57">
        <f>AVERAGE(results_2_fusionné[tps_nb])</f>
        <v>1087.1747911453238</v>
      </c>
    </row>
    <row r="58" spans="1:9" x14ac:dyDescent="0.3">
      <c r="A58" t="s">
        <v>104</v>
      </c>
      <c r="B58">
        <f>MAX(results_2_fusionné[Total profit])</f>
        <v>42859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41918.400000000001</v>
      </c>
    </row>
    <row r="62" spans="1:9" x14ac:dyDescent="0.3">
      <c r="A62" s="2">
        <v>100</v>
      </c>
      <c r="B62">
        <v>42152</v>
      </c>
    </row>
    <row r="63" spans="1:9" x14ac:dyDescent="0.3">
      <c r="A63" s="2">
        <v>500</v>
      </c>
      <c r="B63">
        <v>42237</v>
      </c>
    </row>
    <row r="64" spans="1:9" x14ac:dyDescent="0.3">
      <c r="A64" s="2">
        <v>1000</v>
      </c>
      <c r="B64">
        <v>42026.2</v>
      </c>
    </row>
    <row r="65" spans="1:2" x14ac:dyDescent="0.3">
      <c r="A65" s="2">
        <v>5000</v>
      </c>
      <c r="B65">
        <v>42190</v>
      </c>
    </row>
    <row r="66" spans="1:2" x14ac:dyDescent="0.3">
      <c r="A66" s="2">
        <v>10000</v>
      </c>
      <c r="B66">
        <v>41701.4</v>
      </c>
    </row>
    <row r="67" spans="1:2" x14ac:dyDescent="0.3">
      <c r="A67" s="2">
        <v>50000</v>
      </c>
      <c r="B67">
        <v>41645.4</v>
      </c>
    </row>
    <row r="68" spans="1:2" x14ac:dyDescent="0.3">
      <c r="A68" s="2">
        <v>100000</v>
      </c>
      <c r="B68">
        <v>41560.400000000001</v>
      </c>
    </row>
    <row r="69" spans="1:2" x14ac:dyDescent="0.3">
      <c r="A69" s="2">
        <v>500000</v>
      </c>
      <c r="B69">
        <v>41173.4</v>
      </c>
    </row>
    <row r="70" spans="1:2" x14ac:dyDescent="0.3">
      <c r="A70" s="2">
        <v>1000000</v>
      </c>
      <c r="B70">
        <v>41630.199999999997</v>
      </c>
    </row>
    <row r="71" spans="1:2" x14ac:dyDescent="0.3">
      <c r="A71" s="2" t="s">
        <v>106</v>
      </c>
      <c r="B71">
        <v>41823.440000000002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41898</v>
      </c>
    </row>
    <row r="79" spans="1:2" x14ac:dyDescent="0.3">
      <c r="A79" s="2">
        <v>5</v>
      </c>
      <c r="B79">
        <v>41929.800000000003</v>
      </c>
    </row>
    <row r="80" spans="1:2" x14ac:dyDescent="0.3">
      <c r="A80" s="2">
        <v>10</v>
      </c>
      <c r="B80">
        <v>41781.9</v>
      </c>
    </row>
    <row r="81" spans="1:2" x14ac:dyDescent="0.3">
      <c r="A81" s="2">
        <v>15</v>
      </c>
      <c r="B81">
        <v>41731.800000000003</v>
      </c>
    </row>
    <row r="82" spans="1:2" x14ac:dyDescent="0.3">
      <c r="A82" s="2">
        <v>20</v>
      </c>
      <c r="B82">
        <v>41775.699999999997</v>
      </c>
    </row>
    <row r="83" spans="1:2" x14ac:dyDescent="0.3">
      <c r="A83" s="2" t="s">
        <v>106</v>
      </c>
      <c r="B83">
        <v>41823.440000000002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A0C0-CB5B-45BB-B558-BEA3EC6A8F8D}">
  <dimension ref="A1:I83"/>
  <sheetViews>
    <sheetView workbookViewId="0">
      <selection activeCell="A2" sqref="A2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210</v>
      </c>
      <c r="B2">
        <v>1000000</v>
      </c>
      <c r="C2">
        <v>1</v>
      </c>
      <c r="D2">
        <v>970</v>
      </c>
      <c r="E2">
        <v>960</v>
      </c>
      <c r="F2">
        <v>1560</v>
      </c>
      <c r="G2" t="s">
        <v>211</v>
      </c>
      <c r="H2" t="s">
        <v>212</v>
      </c>
      <c r="I2">
        <f t="shared" ref="I2:I33" si="0">IF(ISNUMBER(G2), G2, SUBSTITUTE(G2, ".", ",")*1)</f>
        <v>32.5255672931671</v>
      </c>
    </row>
    <row r="3" spans="1:9" x14ac:dyDescent="0.3">
      <c r="A3" t="s">
        <v>210</v>
      </c>
      <c r="B3">
        <v>1000000</v>
      </c>
      <c r="C3">
        <v>10</v>
      </c>
      <c r="D3">
        <v>970</v>
      </c>
      <c r="E3">
        <v>969</v>
      </c>
      <c r="F3">
        <v>1989</v>
      </c>
      <c r="G3" t="s">
        <v>213</v>
      </c>
      <c r="H3" t="s">
        <v>214</v>
      </c>
      <c r="I3">
        <f>IF(ISNUMBER(G3), G3, SUBSTITUTE(G3, ".", ",")*1)</f>
        <v>32.902185440063398</v>
      </c>
    </row>
    <row r="4" spans="1:9" x14ac:dyDescent="0.3">
      <c r="A4" t="s">
        <v>210</v>
      </c>
      <c r="B4">
        <v>1000000</v>
      </c>
      <c r="C4">
        <v>15</v>
      </c>
      <c r="D4">
        <v>970</v>
      </c>
      <c r="E4">
        <v>969</v>
      </c>
      <c r="F4">
        <v>1989</v>
      </c>
      <c r="G4" t="s">
        <v>215</v>
      </c>
      <c r="H4" t="s">
        <v>216</v>
      </c>
      <c r="I4">
        <f t="shared" si="0"/>
        <v>34.493696451187098</v>
      </c>
    </row>
    <row r="5" spans="1:9" x14ac:dyDescent="0.3">
      <c r="A5" t="s">
        <v>210</v>
      </c>
      <c r="B5">
        <v>1000000</v>
      </c>
      <c r="C5">
        <v>20</v>
      </c>
      <c r="D5">
        <v>970</v>
      </c>
      <c r="E5">
        <v>969</v>
      </c>
      <c r="F5">
        <v>1989</v>
      </c>
      <c r="G5" t="s">
        <v>217</v>
      </c>
      <c r="H5" t="s">
        <v>218</v>
      </c>
      <c r="I5">
        <f t="shared" si="0"/>
        <v>33.525494337081902</v>
      </c>
    </row>
    <row r="6" spans="1:9" x14ac:dyDescent="0.3">
      <c r="A6" t="s">
        <v>210</v>
      </c>
      <c r="B6">
        <v>1000000</v>
      </c>
      <c r="C6">
        <v>5</v>
      </c>
      <c r="D6">
        <v>970</v>
      </c>
      <c r="E6">
        <v>956</v>
      </c>
      <c r="F6">
        <v>1716</v>
      </c>
      <c r="G6" t="s">
        <v>219</v>
      </c>
      <c r="H6" t="s">
        <v>220</v>
      </c>
      <c r="I6">
        <f t="shared" si="0"/>
        <v>28.6639854907989</v>
      </c>
    </row>
    <row r="7" spans="1:9" x14ac:dyDescent="0.3">
      <c r="A7" t="s">
        <v>210</v>
      </c>
      <c r="B7">
        <v>100000</v>
      </c>
      <c r="C7">
        <v>1</v>
      </c>
      <c r="D7">
        <v>970</v>
      </c>
      <c r="E7">
        <v>954</v>
      </c>
      <c r="F7">
        <v>1794</v>
      </c>
      <c r="G7" t="s">
        <v>221</v>
      </c>
      <c r="H7" t="s">
        <v>222</v>
      </c>
      <c r="I7">
        <f t="shared" si="0"/>
        <v>2.9671339988708398</v>
      </c>
    </row>
    <row r="8" spans="1:9" x14ac:dyDescent="0.3">
      <c r="A8" t="s">
        <v>210</v>
      </c>
      <c r="B8">
        <v>100000</v>
      </c>
      <c r="C8">
        <v>10</v>
      </c>
      <c r="D8">
        <v>970</v>
      </c>
      <c r="E8">
        <v>954</v>
      </c>
      <c r="F8">
        <v>1794</v>
      </c>
      <c r="G8" t="s">
        <v>223</v>
      </c>
      <c r="H8" t="s">
        <v>224</v>
      </c>
      <c r="I8">
        <f t="shared" si="0"/>
        <v>3.2131130695343</v>
      </c>
    </row>
    <row r="9" spans="1:9" x14ac:dyDescent="0.3">
      <c r="A9" t="s">
        <v>210</v>
      </c>
      <c r="B9">
        <v>100000</v>
      </c>
      <c r="C9">
        <v>15</v>
      </c>
      <c r="D9">
        <v>970</v>
      </c>
      <c r="E9">
        <v>969</v>
      </c>
      <c r="F9">
        <v>1989</v>
      </c>
      <c r="G9" t="s">
        <v>225</v>
      </c>
      <c r="H9" t="s">
        <v>226</v>
      </c>
      <c r="I9">
        <f t="shared" si="0"/>
        <v>3.6141803264617902</v>
      </c>
    </row>
    <row r="10" spans="1:9" x14ac:dyDescent="0.3">
      <c r="A10" t="s">
        <v>210</v>
      </c>
      <c r="B10">
        <v>100000</v>
      </c>
      <c r="C10">
        <v>20</v>
      </c>
      <c r="D10">
        <v>970</v>
      </c>
      <c r="E10">
        <v>969</v>
      </c>
      <c r="F10">
        <v>1989</v>
      </c>
      <c r="G10" t="s">
        <v>227</v>
      </c>
      <c r="H10" t="s">
        <v>228</v>
      </c>
      <c r="I10">
        <f t="shared" si="0"/>
        <v>3.5173413753509499</v>
      </c>
    </row>
    <row r="11" spans="1:9" x14ac:dyDescent="0.3">
      <c r="A11" t="s">
        <v>210</v>
      </c>
      <c r="B11">
        <v>100000</v>
      </c>
      <c r="C11">
        <v>5</v>
      </c>
      <c r="D11">
        <v>970</v>
      </c>
      <c r="E11">
        <v>969</v>
      </c>
      <c r="F11">
        <v>1989</v>
      </c>
      <c r="G11" t="s">
        <v>229</v>
      </c>
      <c r="H11" t="s">
        <v>230</v>
      </c>
      <c r="I11">
        <f t="shared" si="0"/>
        <v>3.6816494464874201</v>
      </c>
    </row>
    <row r="12" spans="1:9" x14ac:dyDescent="0.3">
      <c r="A12" t="s">
        <v>210</v>
      </c>
      <c r="B12">
        <v>10000</v>
      </c>
      <c r="C12">
        <v>1</v>
      </c>
      <c r="D12">
        <v>970</v>
      </c>
      <c r="E12">
        <v>969</v>
      </c>
      <c r="F12">
        <v>1989</v>
      </c>
      <c r="G12" t="s">
        <v>231</v>
      </c>
      <c r="H12" t="s">
        <v>232</v>
      </c>
      <c r="I12">
        <f t="shared" si="0"/>
        <v>0.32379484176635698</v>
      </c>
    </row>
    <row r="13" spans="1:9" x14ac:dyDescent="0.3">
      <c r="A13" t="s">
        <v>210</v>
      </c>
      <c r="B13">
        <v>10000</v>
      </c>
      <c r="C13">
        <v>10</v>
      </c>
      <c r="D13">
        <v>970</v>
      </c>
      <c r="E13">
        <v>956</v>
      </c>
      <c r="F13">
        <v>1716</v>
      </c>
      <c r="G13" t="s">
        <v>233</v>
      </c>
      <c r="H13" t="s">
        <v>234</v>
      </c>
      <c r="I13">
        <f t="shared" si="0"/>
        <v>0.34864592552184998</v>
      </c>
    </row>
    <row r="14" spans="1:9" x14ac:dyDescent="0.3">
      <c r="A14" t="s">
        <v>210</v>
      </c>
      <c r="B14">
        <v>10000</v>
      </c>
      <c r="C14">
        <v>15</v>
      </c>
      <c r="D14">
        <v>970</v>
      </c>
      <c r="E14">
        <v>958</v>
      </c>
      <c r="F14">
        <v>1638</v>
      </c>
      <c r="G14" t="s">
        <v>235</v>
      </c>
      <c r="H14" t="s">
        <v>236</v>
      </c>
      <c r="I14">
        <f t="shared" si="0"/>
        <v>0.36672568321228</v>
      </c>
    </row>
    <row r="15" spans="1:9" x14ac:dyDescent="0.3">
      <c r="A15" t="s">
        <v>210</v>
      </c>
      <c r="B15">
        <v>10000</v>
      </c>
      <c r="C15">
        <v>20</v>
      </c>
      <c r="D15">
        <v>970</v>
      </c>
      <c r="E15">
        <v>956</v>
      </c>
      <c r="F15">
        <v>1716</v>
      </c>
      <c r="G15" t="s">
        <v>237</v>
      </c>
      <c r="H15" t="s">
        <v>238</v>
      </c>
      <c r="I15">
        <f t="shared" si="0"/>
        <v>0.33221459388732899</v>
      </c>
    </row>
    <row r="16" spans="1:9" x14ac:dyDescent="0.3">
      <c r="A16" t="s">
        <v>210</v>
      </c>
      <c r="B16">
        <v>10000</v>
      </c>
      <c r="C16">
        <v>5</v>
      </c>
      <c r="D16">
        <v>970</v>
      </c>
      <c r="E16">
        <v>969</v>
      </c>
      <c r="F16">
        <v>1989</v>
      </c>
      <c r="G16" t="s">
        <v>239</v>
      </c>
      <c r="H16" t="s">
        <v>240</v>
      </c>
      <c r="I16">
        <f t="shared" si="0"/>
        <v>0.32562375068664501</v>
      </c>
    </row>
    <row r="17" spans="1:9" x14ac:dyDescent="0.3">
      <c r="A17" t="s">
        <v>210</v>
      </c>
      <c r="B17">
        <v>1000</v>
      </c>
      <c r="C17">
        <v>1</v>
      </c>
      <c r="D17">
        <v>970</v>
      </c>
      <c r="E17">
        <v>969</v>
      </c>
      <c r="F17">
        <v>1989</v>
      </c>
      <c r="G17" t="s">
        <v>241</v>
      </c>
      <c r="H17" t="s">
        <v>242</v>
      </c>
      <c r="I17">
        <f t="shared" si="0"/>
        <v>3.1969547271728502E-2</v>
      </c>
    </row>
    <row r="18" spans="1:9" x14ac:dyDescent="0.3">
      <c r="A18" t="s">
        <v>210</v>
      </c>
      <c r="B18">
        <v>1000</v>
      </c>
      <c r="C18">
        <v>10</v>
      </c>
      <c r="D18">
        <v>970</v>
      </c>
      <c r="E18">
        <v>969</v>
      </c>
      <c r="F18">
        <v>1989</v>
      </c>
      <c r="G18" t="s">
        <v>243</v>
      </c>
      <c r="H18" t="s">
        <v>244</v>
      </c>
      <c r="I18">
        <f t="shared" si="0"/>
        <v>4.05163764953613E-2</v>
      </c>
    </row>
    <row r="19" spans="1:9" x14ac:dyDescent="0.3">
      <c r="A19" t="s">
        <v>210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245</v>
      </c>
      <c r="H19" t="s">
        <v>246</v>
      </c>
      <c r="I19">
        <f t="shared" si="0"/>
        <v>3.5041332244872998E-2</v>
      </c>
    </row>
    <row r="20" spans="1:9" x14ac:dyDescent="0.3">
      <c r="A20" t="s">
        <v>210</v>
      </c>
      <c r="B20">
        <v>1000</v>
      </c>
      <c r="C20">
        <v>20</v>
      </c>
      <c r="D20">
        <v>970</v>
      </c>
      <c r="E20">
        <v>969</v>
      </c>
      <c r="F20">
        <v>1989</v>
      </c>
      <c r="G20" t="s">
        <v>247</v>
      </c>
      <c r="H20" t="s">
        <v>248</v>
      </c>
      <c r="I20">
        <f t="shared" si="0"/>
        <v>3.4157276153564398E-2</v>
      </c>
    </row>
    <row r="21" spans="1:9" x14ac:dyDescent="0.3">
      <c r="A21" t="s">
        <v>210</v>
      </c>
      <c r="B21">
        <v>1000</v>
      </c>
      <c r="C21">
        <v>5</v>
      </c>
      <c r="D21">
        <v>970</v>
      </c>
      <c r="E21">
        <v>969</v>
      </c>
      <c r="F21">
        <v>1989</v>
      </c>
      <c r="G21" t="s">
        <v>249</v>
      </c>
      <c r="H21" t="s">
        <v>250</v>
      </c>
      <c r="I21">
        <f t="shared" si="0"/>
        <v>3.2000541687011698E-2</v>
      </c>
    </row>
    <row r="22" spans="1:9" x14ac:dyDescent="0.3">
      <c r="A22" t="s">
        <v>210</v>
      </c>
      <c r="B22">
        <v>100</v>
      </c>
      <c r="C22">
        <v>1</v>
      </c>
      <c r="D22">
        <v>970</v>
      </c>
      <c r="E22">
        <v>969</v>
      </c>
      <c r="F22">
        <v>1989</v>
      </c>
      <c r="G22" t="s">
        <v>251</v>
      </c>
      <c r="H22" t="s">
        <v>252</v>
      </c>
      <c r="I22">
        <f t="shared" si="0"/>
        <v>3.0357837677000999E-3</v>
      </c>
    </row>
    <row r="23" spans="1:9" x14ac:dyDescent="0.3">
      <c r="A23" t="s">
        <v>210</v>
      </c>
      <c r="B23">
        <v>100</v>
      </c>
      <c r="C23">
        <v>10</v>
      </c>
      <c r="D23">
        <v>970</v>
      </c>
      <c r="E23">
        <v>969</v>
      </c>
      <c r="F23">
        <v>1989</v>
      </c>
      <c r="G23" t="s">
        <v>251</v>
      </c>
      <c r="H23" t="s">
        <v>253</v>
      </c>
      <c r="I23">
        <f t="shared" si="0"/>
        <v>3.0357837677000999E-3</v>
      </c>
    </row>
    <row r="24" spans="1:9" x14ac:dyDescent="0.3">
      <c r="A24" t="s">
        <v>210</v>
      </c>
      <c r="B24">
        <v>100</v>
      </c>
      <c r="C24">
        <v>15</v>
      </c>
      <c r="D24">
        <v>970</v>
      </c>
      <c r="E24">
        <v>969</v>
      </c>
      <c r="F24">
        <v>1989</v>
      </c>
      <c r="G24" t="s">
        <v>254</v>
      </c>
      <c r="H24" t="s">
        <v>255</v>
      </c>
      <c r="I24">
        <f t="shared" si="0"/>
        <v>3.9627552032470001E-3</v>
      </c>
    </row>
    <row r="25" spans="1:9" x14ac:dyDescent="0.3">
      <c r="A25" t="s">
        <v>210</v>
      </c>
      <c r="B25">
        <v>100</v>
      </c>
      <c r="C25">
        <v>20</v>
      </c>
      <c r="D25">
        <v>970</v>
      </c>
      <c r="E25">
        <v>969</v>
      </c>
      <c r="F25">
        <v>1989</v>
      </c>
      <c r="G25" t="s">
        <v>256</v>
      </c>
      <c r="H25" t="s">
        <v>257</v>
      </c>
      <c r="I25">
        <f t="shared" si="0"/>
        <v>3.9992332458495998E-3</v>
      </c>
    </row>
    <row r="26" spans="1:9" x14ac:dyDescent="0.3">
      <c r="A26" t="s">
        <v>210</v>
      </c>
      <c r="B26">
        <v>100</v>
      </c>
      <c r="C26">
        <v>5</v>
      </c>
      <c r="D26">
        <v>970</v>
      </c>
      <c r="E26">
        <v>969</v>
      </c>
      <c r="F26">
        <v>1989</v>
      </c>
      <c r="G26" t="s">
        <v>258</v>
      </c>
      <c r="H26" t="s">
        <v>259</v>
      </c>
      <c r="I26">
        <f t="shared" si="0"/>
        <v>2.9983520507812001E-3</v>
      </c>
    </row>
    <row r="27" spans="1:9" x14ac:dyDescent="0.3">
      <c r="A27" t="s">
        <v>210</v>
      </c>
      <c r="B27">
        <v>500000</v>
      </c>
      <c r="C27">
        <v>1</v>
      </c>
      <c r="D27">
        <v>970</v>
      </c>
      <c r="E27">
        <v>969</v>
      </c>
      <c r="F27">
        <v>1989</v>
      </c>
      <c r="G27" t="s">
        <v>260</v>
      </c>
      <c r="H27" t="s">
        <v>261</v>
      </c>
      <c r="I27">
        <f t="shared" si="0"/>
        <v>18.6424462795257</v>
      </c>
    </row>
    <row r="28" spans="1:9" x14ac:dyDescent="0.3">
      <c r="A28" t="s">
        <v>210</v>
      </c>
      <c r="B28">
        <v>500000</v>
      </c>
      <c r="C28">
        <v>10</v>
      </c>
      <c r="D28">
        <v>970</v>
      </c>
      <c r="E28">
        <v>969</v>
      </c>
      <c r="F28">
        <v>1989</v>
      </c>
      <c r="G28" t="s">
        <v>262</v>
      </c>
      <c r="H28" t="s">
        <v>263</v>
      </c>
      <c r="I28">
        <f t="shared" si="0"/>
        <v>17.758221149444498</v>
      </c>
    </row>
    <row r="29" spans="1:9" x14ac:dyDescent="0.3">
      <c r="A29" t="s">
        <v>210</v>
      </c>
      <c r="B29">
        <v>500000</v>
      </c>
      <c r="C29">
        <v>15</v>
      </c>
      <c r="D29">
        <v>970</v>
      </c>
      <c r="E29">
        <v>969</v>
      </c>
      <c r="F29">
        <v>1989</v>
      </c>
      <c r="G29" t="s">
        <v>264</v>
      </c>
      <c r="H29" t="s">
        <v>265</v>
      </c>
      <c r="I29">
        <f t="shared" si="0"/>
        <v>22.0190734863281</v>
      </c>
    </row>
    <row r="30" spans="1:9" x14ac:dyDescent="0.3">
      <c r="A30" t="s">
        <v>210</v>
      </c>
      <c r="B30">
        <v>500000</v>
      </c>
      <c r="C30">
        <v>20</v>
      </c>
      <c r="D30">
        <v>970</v>
      </c>
      <c r="E30">
        <v>969</v>
      </c>
      <c r="F30">
        <v>1989</v>
      </c>
      <c r="G30" t="s">
        <v>266</v>
      </c>
      <c r="H30" t="s">
        <v>267</v>
      </c>
      <c r="I30">
        <f t="shared" si="0"/>
        <v>23.3975076675415</v>
      </c>
    </row>
    <row r="31" spans="1:9" x14ac:dyDescent="0.3">
      <c r="A31" t="s">
        <v>210</v>
      </c>
      <c r="B31">
        <v>500000</v>
      </c>
      <c r="C31">
        <v>5</v>
      </c>
      <c r="D31">
        <v>970</v>
      </c>
      <c r="E31">
        <v>960</v>
      </c>
      <c r="F31">
        <v>1560</v>
      </c>
      <c r="G31" t="s">
        <v>268</v>
      </c>
      <c r="H31" t="s">
        <v>269</v>
      </c>
      <c r="I31">
        <f t="shared" si="0"/>
        <v>15.385166645050001</v>
      </c>
    </row>
    <row r="32" spans="1:9" x14ac:dyDescent="0.3">
      <c r="A32" t="s">
        <v>210</v>
      </c>
      <c r="B32">
        <v>50000</v>
      </c>
      <c r="C32">
        <v>1</v>
      </c>
      <c r="D32">
        <v>970</v>
      </c>
      <c r="E32">
        <v>956</v>
      </c>
      <c r="F32">
        <v>1716</v>
      </c>
      <c r="G32" t="s">
        <v>270</v>
      </c>
      <c r="H32" t="s">
        <v>271</v>
      </c>
      <c r="I32">
        <f t="shared" si="0"/>
        <v>1.4735131263732899</v>
      </c>
    </row>
    <row r="33" spans="1:9" x14ac:dyDescent="0.3">
      <c r="A33" t="s">
        <v>210</v>
      </c>
      <c r="B33">
        <v>50000</v>
      </c>
      <c r="C33">
        <v>10</v>
      </c>
      <c r="D33">
        <v>970</v>
      </c>
      <c r="E33">
        <v>956</v>
      </c>
      <c r="F33">
        <v>1716</v>
      </c>
      <c r="G33" t="s">
        <v>272</v>
      </c>
      <c r="H33" t="s">
        <v>273</v>
      </c>
      <c r="I33">
        <f t="shared" si="0"/>
        <v>1.6426265239715501</v>
      </c>
    </row>
    <row r="34" spans="1:9" x14ac:dyDescent="0.3">
      <c r="A34" t="s">
        <v>210</v>
      </c>
      <c r="B34">
        <v>50000</v>
      </c>
      <c r="C34">
        <v>15</v>
      </c>
      <c r="D34">
        <v>970</v>
      </c>
      <c r="E34">
        <v>969</v>
      </c>
      <c r="F34">
        <v>1989</v>
      </c>
      <c r="G34" t="s">
        <v>274</v>
      </c>
      <c r="H34" t="s">
        <v>275</v>
      </c>
      <c r="I34">
        <f t="shared" ref="I34:I51" si="1">IF(ISNUMBER(G34), G34, SUBSTITUTE(G34, ".", ",")*1)</f>
        <v>1.62289810180664</v>
      </c>
    </row>
    <row r="35" spans="1:9" x14ac:dyDescent="0.3">
      <c r="A35" t="s">
        <v>210</v>
      </c>
      <c r="B35">
        <v>50000</v>
      </c>
      <c r="C35">
        <v>20</v>
      </c>
      <c r="D35">
        <v>970</v>
      </c>
      <c r="E35">
        <v>969</v>
      </c>
      <c r="F35">
        <v>1989</v>
      </c>
      <c r="G35" t="s">
        <v>276</v>
      </c>
      <c r="H35" t="s">
        <v>277</v>
      </c>
      <c r="I35">
        <f t="shared" si="1"/>
        <v>1.76220154762268</v>
      </c>
    </row>
    <row r="36" spans="1:9" x14ac:dyDescent="0.3">
      <c r="A36" t="s">
        <v>210</v>
      </c>
      <c r="B36">
        <v>50000</v>
      </c>
      <c r="C36">
        <v>5</v>
      </c>
      <c r="D36">
        <v>970</v>
      </c>
      <c r="E36">
        <v>969</v>
      </c>
      <c r="F36">
        <v>1989</v>
      </c>
      <c r="G36" t="s">
        <v>278</v>
      </c>
      <c r="H36" t="s">
        <v>279</v>
      </c>
      <c r="I36">
        <f t="shared" si="1"/>
        <v>1.6156044006347601</v>
      </c>
    </row>
    <row r="37" spans="1:9" x14ac:dyDescent="0.3">
      <c r="A37" t="s">
        <v>210</v>
      </c>
      <c r="B37">
        <v>5000</v>
      </c>
      <c r="C37">
        <v>1</v>
      </c>
      <c r="D37">
        <v>970</v>
      </c>
      <c r="E37">
        <v>954</v>
      </c>
      <c r="F37">
        <v>1794</v>
      </c>
      <c r="G37" t="s">
        <v>280</v>
      </c>
      <c r="H37" t="s">
        <v>281</v>
      </c>
      <c r="I37">
        <f t="shared" si="1"/>
        <v>0.15204524993896401</v>
      </c>
    </row>
    <row r="38" spans="1:9" x14ac:dyDescent="0.3">
      <c r="A38" t="s">
        <v>210</v>
      </c>
      <c r="B38">
        <v>5000</v>
      </c>
      <c r="C38">
        <v>10</v>
      </c>
      <c r="D38">
        <v>970</v>
      </c>
      <c r="E38">
        <v>956</v>
      </c>
      <c r="F38">
        <v>1716</v>
      </c>
      <c r="G38" t="s">
        <v>282</v>
      </c>
      <c r="H38" t="s">
        <v>283</v>
      </c>
      <c r="I38">
        <f t="shared" si="1"/>
        <v>0.15699195861816401</v>
      </c>
    </row>
    <row r="39" spans="1:9" x14ac:dyDescent="0.3">
      <c r="A39" t="s">
        <v>210</v>
      </c>
      <c r="B39">
        <v>5000</v>
      </c>
      <c r="C39">
        <v>15</v>
      </c>
      <c r="D39">
        <v>970</v>
      </c>
      <c r="E39">
        <v>958</v>
      </c>
      <c r="F39">
        <v>1638</v>
      </c>
      <c r="G39" t="s">
        <v>284</v>
      </c>
      <c r="H39" t="s">
        <v>285</v>
      </c>
      <c r="I39">
        <f t="shared" si="1"/>
        <v>0.166736364364624</v>
      </c>
    </row>
    <row r="40" spans="1:9" x14ac:dyDescent="0.3">
      <c r="A40" t="s">
        <v>210</v>
      </c>
      <c r="B40">
        <v>5000</v>
      </c>
      <c r="C40">
        <v>20</v>
      </c>
      <c r="D40">
        <v>970</v>
      </c>
      <c r="E40">
        <v>969</v>
      </c>
      <c r="F40">
        <v>1989</v>
      </c>
      <c r="G40" t="s">
        <v>286</v>
      </c>
      <c r="H40" t="s">
        <v>287</v>
      </c>
      <c r="I40">
        <f t="shared" si="1"/>
        <v>0.186152458190917</v>
      </c>
    </row>
    <row r="41" spans="1:9" x14ac:dyDescent="0.3">
      <c r="A41" t="s">
        <v>210</v>
      </c>
      <c r="B41">
        <v>5000</v>
      </c>
      <c r="C41">
        <v>5</v>
      </c>
      <c r="D41">
        <v>970</v>
      </c>
      <c r="E41">
        <v>969</v>
      </c>
      <c r="F41">
        <v>1989</v>
      </c>
      <c r="G41" t="s">
        <v>288</v>
      </c>
      <c r="H41" t="s">
        <v>289</v>
      </c>
      <c r="I41">
        <f t="shared" si="1"/>
        <v>0.15722084045410101</v>
      </c>
    </row>
    <row r="42" spans="1:9" x14ac:dyDescent="0.3">
      <c r="A42" t="s">
        <v>210</v>
      </c>
      <c r="B42">
        <v>500</v>
      </c>
      <c r="C42">
        <v>1</v>
      </c>
      <c r="D42">
        <v>970</v>
      </c>
      <c r="E42">
        <v>956</v>
      </c>
      <c r="F42">
        <v>1716</v>
      </c>
      <c r="G42" t="s">
        <v>290</v>
      </c>
      <c r="H42" t="s">
        <v>291</v>
      </c>
      <c r="I42">
        <f t="shared" si="1"/>
        <v>1.9966125488281201E-2</v>
      </c>
    </row>
    <row r="43" spans="1:9" x14ac:dyDescent="0.3">
      <c r="A43" t="s">
        <v>210</v>
      </c>
      <c r="B43">
        <v>500</v>
      </c>
      <c r="C43">
        <v>10</v>
      </c>
      <c r="D43">
        <v>970</v>
      </c>
      <c r="E43">
        <v>969</v>
      </c>
      <c r="F43">
        <v>1989</v>
      </c>
      <c r="G43" t="s">
        <v>292</v>
      </c>
      <c r="H43" t="s">
        <v>293</v>
      </c>
      <c r="I43">
        <f t="shared" si="1"/>
        <v>1.5983581542968701E-2</v>
      </c>
    </row>
    <row r="44" spans="1:9" x14ac:dyDescent="0.3">
      <c r="A44" t="s">
        <v>210</v>
      </c>
      <c r="B44">
        <v>500</v>
      </c>
      <c r="C44">
        <v>15</v>
      </c>
      <c r="D44">
        <v>970</v>
      </c>
      <c r="E44">
        <v>958</v>
      </c>
      <c r="F44">
        <v>1638</v>
      </c>
      <c r="G44" t="s">
        <v>294</v>
      </c>
      <c r="H44" t="s">
        <v>295</v>
      </c>
      <c r="I44">
        <f t="shared" si="1"/>
        <v>1.5033960342407201E-2</v>
      </c>
    </row>
    <row r="45" spans="1:9" x14ac:dyDescent="0.3">
      <c r="A45" t="s">
        <v>210</v>
      </c>
      <c r="B45">
        <v>500</v>
      </c>
      <c r="C45">
        <v>20</v>
      </c>
      <c r="D45">
        <v>970</v>
      </c>
      <c r="E45">
        <v>958</v>
      </c>
      <c r="F45">
        <v>1638</v>
      </c>
      <c r="G45" t="s">
        <v>296</v>
      </c>
      <c r="H45" t="s">
        <v>297</v>
      </c>
      <c r="I45">
        <f t="shared" si="1"/>
        <v>1.8403768539428701E-2</v>
      </c>
    </row>
    <row r="46" spans="1:9" x14ac:dyDescent="0.3">
      <c r="A46" t="s">
        <v>210</v>
      </c>
      <c r="B46">
        <v>500</v>
      </c>
      <c r="C46">
        <v>5</v>
      </c>
      <c r="D46">
        <v>970</v>
      </c>
      <c r="E46">
        <v>969</v>
      </c>
      <c r="F46">
        <v>1989</v>
      </c>
      <c r="G46" t="s">
        <v>298</v>
      </c>
      <c r="H46" t="s">
        <v>299</v>
      </c>
      <c r="I46">
        <f t="shared" si="1"/>
        <v>1.87957286834716E-2</v>
      </c>
    </row>
    <row r="47" spans="1:9" x14ac:dyDescent="0.3">
      <c r="A47" t="s">
        <v>210</v>
      </c>
      <c r="B47">
        <v>50</v>
      </c>
      <c r="C47">
        <v>1</v>
      </c>
      <c r="D47">
        <v>970</v>
      </c>
      <c r="E47">
        <v>958</v>
      </c>
      <c r="F47">
        <v>1638</v>
      </c>
      <c r="G47" t="s">
        <v>300</v>
      </c>
      <c r="H47" t="s">
        <v>301</v>
      </c>
      <c r="I47">
        <f t="shared" si="1"/>
        <v>1.9991397857665998E-3</v>
      </c>
    </row>
    <row r="48" spans="1:9" x14ac:dyDescent="0.3">
      <c r="A48" t="s">
        <v>210</v>
      </c>
      <c r="B48">
        <v>50</v>
      </c>
      <c r="C48">
        <v>10</v>
      </c>
      <c r="D48">
        <v>970</v>
      </c>
      <c r="E48">
        <v>969</v>
      </c>
      <c r="F48">
        <v>1989</v>
      </c>
      <c r="G48" t="s">
        <v>302</v>
      </c>
      <c r="H48" t="s">
        <v>303</v>
      </c>
      <c r="I48">
        <f t="shared" si="1"/>
        <v>2.0153522491455E-3</v>
      </c>
    </row>
    <row r="49" spans="1:9" x14ac:dyDescent="0.3">
      <c r="A49" t="s">
        <v>210</v>
      </c>
      <c r="B49">
        <v>50</v>
      </c>
      <c r="C49">
        <v>15</v>
      </c>
      <c r="D49">
        <v>970</v>
      </c>
      <c r="E49">
        <v>958</v>
      </c>
      <c r="F49">
        <v>1638</v>
      </c>
      <c r="G49" t="s">
        <v>304</v>
      </c>
      <c r="H49" t="s">
        <v>305</v>
      </c>
      <c r="I49">
        <f t="shared" si="1"/>
        <v>2.0334720611572001E-3</v>
      </c>
    </row>
    <row r="50" spans="1:9" x14ac:dyDescent="0.3">
      <c r="A50" t="s">
        <v>210</v>
      </c>
      <c r="B50">
        <v>50</v>
      </c>
      <c r="C50">
        <v>20</v>
      </c>
      <c r="D50">
        <v>970</v>
      </c>
      <c r="E50">
        <v>969</v>
      </c>
      <c r="F50">
        <v>1989</v>
      </c>
      <c r="G50" t="s">
        <v>306</v>
      </c>
      <c r="H50" t="s">
        <v>307</v>
      </c>
      <c r="I50">
        <f t="shared" si="1"/>
        <v>2.0322799682617001E-3</v>
      </c>
    </row>
    <row r="51" spans="1:9" x14ac:dyDescent="0.3">
      <c r="A51" t="s">
        <v>210</v>
      </c>
      <c r="B51">
        <v>50</v>
      </c>
      <c r="C51">
        <v>5</v>
      </c>
      <c r="D51">
        <v>970</v>
      </c>
      <c r="E51">
        <v>960</v>
      </c>
      <c r="F51">
        <v>1560</v>
      </c>
      <c r="G51" t="s">
        <v>308</v>
      </c>
      <c r="H51" t="s">
        <v>309</v>
      </c>
      <c r="I51">
        <f t="shared" si="1"/>
        <v>2.0039081573485999E-3</v>
      </c>
    </row>
    <row r="57" spans="1:9" x14ac:dyDescent="0.3">
      <c r="A57" t="s">
        <v>103</v>
      </c>
      <c r="B57">
        <f>AVERAGE(results_3_fusionné[tps_nb])</f>
        <v>5.7445748424529945</v>
      </c>
    </row>
    <row r="58" spans="1:9" x14ac:dyDescent="0.3">
      <c r="A58" t="s">
        <v>104</v>
      </c>
      <c r="B58">
        <f>MAX(results_3_fusionné[Total profit])</f>
        <v>1989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1762.8</v>
      </c>
    </row>
    <row r="62" spans="1:9" x14ac:dyDescent="0.3">
      <c r="A62" s="2">
        <v>100</v>
      </c>
      <c r="B62">
        <v>1989</v>
      </c>
    </row>
    <row r="63" spans="1:9" x14ac:dyDescent="0.3">
      <c r="A63" s="2">
        <v>500</v>
      </c>
      <c r="B63">
        <v>1794</v>
      </c>
    </row>
    <row r="64" spans="1:9" x14ac:dyDescent="0.3">
      <c r="A64" s="2">
        <v>1000</v>
      </c>
      <c r="B64">
        <v>1989</v>
      </c>
    </row>
    <row r="65" spans="1:2" x14ac:dyDescent="0.3">
      <c r="A65" s="2">
        <v>5000</v>
      </c>
      <c r="B65">
        <v>1825.2</v>
      </c>
    </row>
    <row r="66" spans="1:2" x14ac:dyDescent="0.3">
      <c r="A66" s="2">
        <v>10000</v>
      </c>
      <c r="B66">
        <v>1809.6</v>
      </c>
    </row>
    <row r="67" spans="1:2" x14ac:dyDescent="0.3">
      <c r="A67" s="2">
        <v>50000</v>
      </c>
      <c r="B67">
        <v>1879.8</v>
      </c>
    </row>
    <row r="68" spans="1:2" x14ac:dyDescent="0.3">
      <c r="A68" s="2">
        <v>100000</v>
      </c>
      <c r="B68">
        <v>1911</v>
      </c>
    </row>
    <row r="69" spans="1:2" x14ac:dyDescent="0.3">
      <c r="A69" s="2">
        <v>500000</v>
      </c>
      <c r="B69">
        <v>1903.2</v>
      </c>
    </row>
    <row r="70" spans="1:2" x14ac:dyDescent="0.3">
      <c r="A70" s="2">
        <v>1000000</v>
      </c>
      <c r="B70">
        <v>1848.6</v>
      </c>
    </row>
    <row r="71" spans="1:2" x14ac:dyDescent="0.3">
      <c r="A71" s="2" t="s">
        <v>106</v>
      </c>
      <c r="B71">
        <v>1871.22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1817.4</v>
      </c>
    </row>
    <row r="79" spans="1:2" x14ac:dyDescent="0.3">
      <c r="A79" s="2">
        <v>5</v>
      </c>
      <c r="B79">
        <v>1875.9</v>
      </c>
    </row>
    <row r="80" spans="1:2" x14ac:dyDescent="0.3">
      <c r="A80" s="2">
        <v>10</v>
      </c>
      <c r="B80">
        <v>1887.6</v>
      </c>
    </row>
    <row r="81" spans="1:2" x14ac:dyDescent="0.3">
      <c r="A81" s="2">
        <v>15</v>
      </c>
      <c r="B81">
        <v>1848.6</v>
      </c>
    </row>
    <row r="82" spans="1:2" x14ac:dyDescent="0.3">
      <c r="A82" s="2">
        <v>20</v>
      </c>
      <c r="B82">
        <v>1926.6</v>
      </c>
    </row>
    <row r="83" spans="1:2" x14ac:dyDescent="0.3">
      <c r="A83" s="2" t="s">
        <v>106</v>
      </c>
      <c r="B83">
        <v>1871.22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98B2F-1ABD-4255-AF52-7539AAA4204A}">
  <dimension ref="A1:I83"/>
  <sheetViews>
    <sheetView workbookViewId="0">
      <selection activeCell="A2" sqref="A2:I51"/>
    </sheetView>
  </sheetViews>
  <sheetFormatPr baseColWidth="10" defaultRowHeight="14.4" x14ac:dyDescent="0.3"/>
  <cols>
    <col min="1" max="1" width="19.5546875" bestFit="1" customWidth="1"/>
    <col min="2" max="2" width="19.3320312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310</v>
      </c>
      <c r="B2">
        <v>1000000</v>
      </c>
      <c r="C2">
        <v>1</v>
      </c>
      <c r="D2">
        <v>3177</v>
      </c>
      <c r="E2">
        <v>3164</v>
      </c>
      <c r="F2">
        <v>4524</v>
      </c>
      <c r="G2" t="s">
        <v>311</v>
      </c>
      <c r="H2" t="s">
        <v>312</v>
      </c>
      <c r="I2">
        <f>IF(ISNUMBER(G2), G2, SUBSTITUTE(G2, ".", ",")*1)</f>
        <v>213.02613663673401</v>
      </c>
    </row>
    <row r="3" spans="1:9" x14ac:dyDescent="0.3">
      <c r="A3" t="s">
        <v>310</v>
      </c>
      <c r="B3">
        <v>1000000</v>
      </c>
      <c r="C3">
        <v>10</v>
      </c>
      <c r="D3">
        <v>3177</v>
      </c>
      <c r="E3">
        <v>3170</v>
      </c>
      <c r="F3">
        <v>4290</v>
      </c>
      <c r="G3" t="s">
        <v>313</v>
      </c>
      <c r="H3" t="s">
        <v>314</v>
      </c>
      <c r="I3">
        <f t="shared" ref="I3:I33" si="0">IF(ISNUMBER(G3), G3, SUBSTITUTE(G3, ".", ",")*1)</f>
        <v>259.67955613136201</v>
      </c>
    </row>
    <row r="4" spans="1:9" x14ac:dyDescent="0.3">
      <c r="A4" t="s">
        <v>310</v>
      </c>
      <c r="B4">
        <v>1000000</v>
      </c>
      <c r="C4">
        <v>15</v>
      </c>
      <c r="D4">
        <v>3177</v>
      </c>
      <c r="E4">
        <v>3162</v>
      </c>
      <c r="F4">
        <v>4602</v>
      </c>
      <c r="G4" t="s">
        <v>315</v>
      </c>
      <c r="H4" t="s">
        <v>316</v>
      </c>
      <c r="I4">
        <f t="shared" si="0"/>
        <v>260.35935616493202</v>
      </c>
    </row>
    <row r="5" spans="1:9" x14ac:dyDescent="0.3">
      <c r="A5" t="s">
        <v>310</v>
      </c>
      <c r="B5">
        <v>1000000</v>
      </c>
      <c r="C5">
        <v>20</v>
      </c>
      <c r="D5">
        <v>3177</v>
      </c>
      <c r="E5">
        <v>3162</v>
      </c>
      <c r="F5">
        <v>4602</v>
      </c>
      <c r="G5" t="s">
        <v>317</v>
      </c>
      <c r="H5" t="s">
        <v>318</v>
      </c>
      <c r="I5">
        <f t="shared" si="0"/>
        <v>268.42133450508101</v>
      </c>
    </row>
    <row r="6" spans="1:9" x14ac:dyDescent="0.3">
      <c r="A6" t="s">
        <v>310</v>
      </c>
      <c r="B6">
        <v>1000000</v>
      </c>
      <c r="C6">
        <v>5</v>
      </c>
      <c r="D6">
        <v>3177</v>
      </c>
      <c r="E6">
        <v>3172</v>
      </c>
      <c r="F6">
        <v>4212</v>
      </c>
      <c r="G6" t="s">
        <v>319</v>
      </c>
      <c r="H6" t="s">
        <v>320</v>
      </c>
      <c r="I6">
        <f t="shared" si="0"/>
        <v>239.145867347717</v>
      </c>
    </row>
    <row r="7" spans="1:9" x14ac:dyDescent="0.3">
      <c r="A7" t="s">
        <v>310</v>
      </c>
      <c r="B7">
        <v>100000</v>
      </c>
      <c r="C7">
        <v>1</v>
      </c>
      <c r="D7">
        <v>3177</v>
      </c>
      <c r="E7">
        <v>3174</v>
      </c>
      <c r="F7">
        <v>4134</v>
      </c>
      <c r="G7" t="s">
        <v>321</v>
      </c>
      <c r="H7" t="s">
        <v>322</v>
      </c>
      <c r="I7">
        <f t="shared" si="0"/>
        <v>25.416838884353599</v>
      </c>
    </row>
    <row r="8" spans="1:9" x14ac:dyDescent="0.3">
      <c r="A8" t="s">
        <v>310</v>
      </c>
      <c r="B8">
        <v>100000</v>
      </c>
      <c r="C8">
        <v>10</v>
      </c>
      <c r="D8">
        <v>3177</v>
      </c>
      <c r="E8">
        <v>3173</v>
      </c>
      <c r="F8">
        <v>4953</v>
      </c>
      <c r="G8" t="s">
        <v>323</v>
      </c>
      <c r="H8" t="s">
        <v>324</v>
      </c>
      <c r="I8">
        <f t="shared" si="0"/>
        <v>25.507731199264501</v>
      </c>
    </row>
    <row r="9" spans="1:9" x14ac:dyDescent="0.3">
      <c r="A9" t="s">
        <v>310</v>
      </c>
      <c r="B9">
        <v>100000</v>
      </c>
      <c r="C9">
        <v>15</v>
      </c>
      <c r="D9">
        <v>3177</v>
      </c>
      <c r="E9">
        <v>3164</v>
      </c>
      <c r="F9">
        <v>4524</v>
      </c>
      <c r="G9" t="s">
        <v>325</v>
      </c>
      <c r="H9" t="s">
        <v>326</v>
      </c>
      <c r="I9">
        <f t="shared" si="0"/>
        <v>24.171571731567301</v>
      </c>
    </row>
    <row r="10" spans="1:9" x14ac:dyDescent="0.3">
      <c r="A10" t="s">
        <v>310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327</v>
      </c>
      <c r="H10" t="s">
        <v>328</v>
      </c>
      <c r="I10">
        <f t="shared" si="0"/>
        <v>24.583228111267001</v>
      </c>
    </row>
    <row r="11" spans="1:9" x14ac:dyDescent="0.3">
      <c r="A11" t="s">
        <v>310</v>
      </c>
      <c r="B11">
        <v>100000</v>
      </c>
      <c r="C11">
        <v>5</v>
      </c>
      <c r="D11">
        <v>3177</v>
      </c>
      <c r="E11">
        <v>3160</v>
      </c>
      <c r="F11">
        <v>4680</v>
      </c>
      <c r="G11" t="s">
        <v>329</v>
      </c>
      <c r="H11" t="s">
        <v>330</v>
      </c>
      <c r="I11">
        <f t="shared" si="0"/>
        <v>29.871075630187899</v>
      </c>
    </row>
    <row r="12" spans="1:9" x14ac:dyDescent="0.3">
      <c r="A12" t="s">
        <v>310</v>
      </c>
      <c r="B12">
        <v>10000</v>
      </c>
      <c r="C12">
        <v>1</v>
      </c>
      <c r="D12">
        <v>3177</v>
      </c>
      <c r="E12">
        <v>3162</v>
      </c>
      <c r="F12">
        <v>4602</v>
      </c>
      <c r="G12" t="s">
        <v>331</v>
      </c>
      <c r="H12" t="s">
        <v>332</v>
      </c>
      <c r="I12">
        <f t="shared" si="0"/>
        <v>2.5064721107482901</v>
      </c>
    </row>
    <row r="13" spans="1:9" x14ac:dyDescent="0.3">
      <c r="A13" t="s">
        <v>310</v>
      </c>
      <c r="B13">
        <v>10000</v>
      </c>
      <c r="C13">
        <v>10</v>
      </c>
      <c r="D13">
        <v>3177</v>
      </c>
      <c r="E13">
        <v>3168</v>
      </c>
      <c r="F13">
        <v>4368</v>
      </c>
      <c r="G13" t="s">
        <v>333</v>
      </c>
      <c r="H13" t="s">
        <v>334</v>
      </c>
      <c r="I13">
        <f t="shared" si="0"/>
        <v>2.1455841064453098</v>
      </c>
    </row>
    <row r="14" spans="1:9" x14ac:dyDescent="0.3">
      <c r="A14" t="s">
        <v>310</v>
      </c>
      <c r="B14">
        <v>10000</v>
      </c>
      <c r="C14">
        <v>15</v>
      </c>
      <c r="D14">
        <v>3177</v>
      </c>
      <c r="E14">
        <v>3164</v>
      </c>
      <c r="F14">
        <v>4524</v>
      </c>
      <c r="G14" t="s">
        <v>335</v>
      </c>
      <c r="H14" t="s">
        <v>336</v>
      </c>
      <c r="I14">
        <f t="shared" si="0"/>
        <v>2.5084884166717498</v>
      </c>
    </row>
    <row r="15" spans="1:9" x14ac:dyDescent="0.3">
      <c r="A15" t="s">
        <v>310</v>
      </c>
      <c r="B15">
        <v>10000</v>
      </c>
      <c r="C15">
        <v>20</v>
      </c>
      <c r="D15">
        <v>3177</v>
      </c>
      <c r="E15">
        <v>3162</v>
      </c>
      <c r="F15">
        <v>4602</v>
      </c>
      <c r="G15" t="s">
        <v>337</v>
      </c>
      <c r="H15" t="s">
        <v>338</v>
      </c>
      <c r="I15">
        <f t="shared" si="0"/>
        <v>2.6093401908874498</v>
      </c>
    </row>
    <row r="16" spans="1:9" x14ac:dyDescent="0.3">
      <c r="A16" t="s">
        <v>310</v>
      </c>
      <c r="B16">
        <v>10000</v>
      </c>
      <c r="C16">
        <v>5</v>
      </c>
      <c r="D16">
        <v>3177</v>
      </c>
      <c r="E16">
        <v>3164</v>
      </c>
      <c r="F16">
        <v>4524</v>
      </c>
      <c r="G16" t="s">
        <v>339</v>
      </c>
      <c r="H16" t="s">
        <v>340</v>
      </c>
      <c r="I16">
        <f t="shared" si="0"/>
        <v>2.3118195533752401</v>
      </c>
    </row>
    <row r="17" spans="1:9" x14ac:dyDescent="0.3">
      <c r="A17" t="s">
        <v>310</v>
      </c>
      <c r="B17">
        <v>1000</v>
      </c>
      <c r="C17">
        <v>1</v>
      </c>
      <c r="D17">
        <v>3177</v>
      </c>
      <c r="E17">
        <v>3169</v>
      </c>
      <c r="F17">
        <v>5109</v>
      </c>
      <c r="G17" t="s">
        <v>341</v>
      </c>
      <c r="H17" t="s">
        <v>342</v>
      </c>
      <c r="I17">
        <f t="shared" si="0"/>
        <v>0.234714269638061</v>
      </c>
    </row>
    <row r="18" spans="1:9" x14ac:dyDescent="0.3">
      <c r="A18" t="s">
        <v>310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343</v>
      </c>
      <c r="H18" t="s">
        <v>344</v>
      </c>
      <c r="I18">
        <f t="shared" si="0"/>
        <v>0.26364707946777299</v>
      </c>
    </row>
    <row r="19" spans="1:9" x14ac:dyDescent="0.3">
      <c r="A19" t="s">
        <v>310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345</v>
      </c>
      <c r="H19" t="s">
        <v>346</v>
      </c>
      <c r="I19">
        <f t="shared" si="0"/>
        <v>0.230627536773681</v>
      </c>
    </row>
    <row r="20" spans="1:9" x14ac:dyDescent="0.3">
      <c r="A20" t="s">
        <v>310</v>
      </c>
      <c r="B20">
        <v>1000</v>
      </c>
      <c r="C20">
        <v>20</v>
      </c>
      <c r="D20">
        <v>3177</v>
      </c>
      <c r="E20">
        <v>3171</v>
      </c>
      <c r="F20">
        <v>5031</v>
      </c>
      <c r="G20" t="s">
        <v>347</v>
      </c>
      <c r="H20" t="s">
        <v>348</v>
      </c>
      <c r="I20">
        <f t="shared" si="0"/>
        <v>0.25091242790222101</v>
      </c>
    </row>
    <row r="21" spans="1:9" x14ac:dyDescent="0.3">
      <c r="A21" t="s">
        <v>310</v>
      </c>
      <c r="B21">
        <v>1000</v>
      </c>
      <c r="C21">
        <v>5</v>
      </c>
      <c r="D21">
        <v>3177</v>
      </c>
      <c r="E21">
        <v>3160</v>
      </c>
      <c r="F21">
        <v>4680</v>
      </c>
      <c r="G21" t="s">
        <v>349</v>
      </c>
      <c r="H21" t="s">
        <v>350</v>
      </c>
      <c r="I21">
        <f t="shared" si="0"/>
        <v>0.23476743698120101</v>
      </c>
    </row>
    <row r="22" spans="1:9" x14ac:dyDescent="0.3">
      <c r="A22" t="s">
        <v>310</v>
      </c>
      <c r="B22">
        <v>100</v>
      </c>
      <c r="C22">
        <v>1</v>
      </c>
      <c r="D22">
        <v>3177</v>
      </c>
      <c r="E22">
        <v>3175</v>
      </c>
      <c r="F22">
        <v>4875</v>
      </c>
      <c r="G22" t="s">
        <v>351</v>
      </c>
      <c r="H22" t="s">
        <v>352</v>
      </c>
      <c r="I22">
        <f t="shared" si="0"/>
        <v>2.7999639511108398E-2</v>
      </c>
    </row>
    <row r="23" spans="1:9" x14ac:dyDescent="0.3">
      <c r="A23" t="s">
        <v>310</v>
      </c>
      <c r="B23">
        <v>100</v>
      </c>
      <c r="C23">
        <v>10</v>
      </c>
      <c r="D23">
        <v>3177</v>
      </c>
      <c r="E23">
        <v>3162</v>
      </c>
      <c r="F23">
        <v>4602</v>
      </c>
      <c r="G23" t="s">
        <v>353</v>
      </c>
      <c r="H23" t="s">
        <v>354</v>
      </c>
      <c r="I23">
        <f t="shared" si="0"/>
        <v>2.3975372314453101E-2</v>
      </c>
    </row>
    <row r="24" spans="1:9" x14ac:dyDescent="0.3">
      <c r="A24" t="s">
        <v>310</v>
      </c>
      <c r="B24">
        <v>100</v>
      </c>
      <c r="C24">
        <v>15</v>
      </c>
      <c r="D24">
        <v>3177</v>
      </c>
      <c r="E24">
        <v>3171</v>
      </c>
      <c r="F24">
        <v>5031</v>
      </c>
      <c r="G24" t="s">
        <v>355</v>
      </c>
      <c r="H24" t="s">
        <v>356</v>
      </c>
      <c r="I24">
        <f t="shared" si="0"/>
        <v>2.9999971389770501E-2</v>
      </c>
    </row>
    <row r="25" spans="1:9" x14ac:dyDescent="0.3">
      <c r="A25" t="s">
        <v>310</v>
      </c>
      <c r="B25">
        <v>100</v>
      </c>
      <c r="C25">
        <v>20</v>
      </c>
      <c r="D25">
        <v>3177</v>
      </c>
      <c r="E25">
        <v>3171</v>
      </c>
      <c r="F25">
        <v>5031</v>
      </c>
      <c r="G25" t="s">
        <v>357</v>
      </c>
      <c r="H25" t="s">
        <v>358</v>
      </c>
      <c r="I25">
        <f t="shared" si="0"/>
        <v>2.4042367935180602E-2</v>
      </c>
    </row>
    <row r="26" spans="1:9" x14ac:dyDescent="0.3">
      <c r="A26" t="s">
        <v>310</v>
      </c>
      <c r="B26">
        <v>100</v>
      </c>
      <c r="C26">
        <v>5</v>
      </c>
      <c r="D26">
        <v>3177</v>
      </c>
      <c r="E26">
        <v>3169</v>
      </c>
      <c r="F26">
        <v>5109</v>
      </c>
      <c r="G26" t="s">
        <v>359</v>
      </c>
      <c r="H26" t="s">
        <v>360</v>
      </c>
      <c r="I26">
        <f t="shared" si="0"/>
        <v>2.90296077728271E-2</v>
      </c>
    </row>
    <row r="27" spans="1:9" x14ac:dyDescent="0.3">
      <c r="A27" t="s">
        <v>310</v>
      </c>
      <c r="B27">
        <v>500000</v>
      </c>
      <c r="C27">
        <v>1</v>
      </c>
      <c r="D27">
        <v>3177</v>
      </c>
      <c r="E27">
        <v>3177</v>
      </c>
      <c r="F27">
        <v>4797</v>
      </c>
      <c r="G27" t="s">
        <v>361</v>
      </c>
      <c r="H27" t="s">
        <v>362</v>
      </c>
      <c r="I27">
        <f t="shared" si="0"/>
        <v>99.015268087387</v>
      </c>
    </row>
    <row r="28" spans="1:9" x14ac:dyDescent="0.3">
      <c r="A28" t="s">
        <v>310</v>
      </c>
      <c r="B28">
        <v>500000</v>
      </c>
      <c r="C28">
        <v>10</v>
      </c>
      <c r="D28">
        <v>3177</v>
      </c>
      <c r="E28">
        <v>3162</v>
      </c>
      <c r="F28">
        <v>4602</v>
      </c>
      <c r="G28" t="s">
        <v>363</v>
      </c>
      <c r="H28" t="s">
        <v>364</v>
      </c>
      <c r="I28">
        <f t="shared" si="0"/>
        <v>143.12851238250701</v>
      </c>
    </row>
    <row r="29" spans="1:9" x14ac:dyDescent="0.3">
      <c r="A29" t="s">
        <v>310</v>
      </c>
      <c r="B29">
        <v>500000</v>
      </c>
      <c r="C29">
        <v>15</v>
      </c>
      <c r="D29">
        <v>3177</v>
      </c>
      <c r="E29">
        <v>3174</v>
      </c>
      <c r="F29">
        <v>4134</v>
      </c>
      <c r="G29" t="s">
        <v>365</v>
      </c>
      <c r="H29" t="s">
        <v>366</v>
      </c>
      <c r="I29">
        <f t="shared" si="0"/>
        <v>151.146419525146</v>
      </c>
    </row>
    <row r="30" spans="1:9" x14ac:dyDescent="0.3">
      <c r="A30" t="s">
        <v>310</v>
      </c>
      <c r="B30">
        <v>500000</v>
      </c>
      <c r="C30">
        <v>20</v>
      </c>
      <c r="D30">
        <v>3177</v>
      </c>
      <c r="E30">
        <v>3162</v>
      </c>
      <c r="F30">
        <v>4602</v>
      </c>
      <c r="G30" t="s">
        <v>367</v>
      </c>
      <c r="H30" t="s">
        <v>368</v>
      </c>
      <c r="I30">
        <f t="shared" si="0"/>
        <v>125.42586922645501</v>
      </c>
    </row>
    <row r="31" spans="1:9" x14ac:dyDescent="0.3">
      <c r="A31" t="s">
        <v>310</v>
      </c>
      <c r="B31">
        <v>500000</v>
      </c>
      <c r="C31">
        <v>5</v>
      </c>
      <c r="D31">
        <v>3177</v>
      </c>
      <c r="E31">
        <v>3162</v>
      </c>
      <c r="F31">
        <v>4602</v>
      </c>
      <c r="G31" t="s">
        <v>369</v>
      </c>
      <c r="H31" t="s">
        <v>370</v>
      </c>
      <c r="I31">
        <f t="shared" si="0"/>
        <v>133.349657297134</v>
      </c>
    </row>
    <row r="32" spans="1:9" x14ac:dyDescent="0.3">
      <c r="A32" t="s">
        <v>310</v>
      </c>
      <c r="B32">
        <v>50000</v>
      </c>
      <c r="C32">
        <v>1</v>
      </c>
      <c r="D32">
        <v>3177</v>
      </c>
      <c r="E32">
        <v>3170</v>
      </c>
      <c r="F32">
        <v>4290</v>
      </c>
      <c r="G32" t="s">
        <v>371</v>
      </c>
      <c r="H32" t="s">
        <v>372</v>
      </c>
      <c r="I32">
        <f t="shared" si="0"/>
        <v>11.113141298294</v>
      </c>
    </row>
    <row r="33" spans="1:9" x14ac:dyDescent="0.3">
      <c r="A33" t="s">
        <v>310</v>
      </c>
      <c r="B33">
        <v>50000</v>
      </c>
      <c r="C33">
        <v>10</v>
      </c>
      <c r="D33">
        <v>3177</v>
      </c>
      <c r="E33">
        <v>3171</v>
      </c>
      <c r="F33">
        <v>5031</v>
      </c>
      <c r="G33" t="s">
        <v>373</v>
      </c>
      <c r="H33" t="s">
        <v>374</v>
      </c>
      <c r="I33">
        <f t="shared" si="0"/>
        <v>11.993535518646199</v>
      </c>
    </row>
    <row r="34" spans="1:9" x14ac:dyDescent="0.3">
      <c r="A34" t="s">
        <v>310</v>
      </c>
      <c r="B34">
        <v>50000</v>
      </c>
      <c r="C34">
        <v>15</v>
      </c>
      <c r="D34">
        <v>3177</v>
      </c>
      <c r="E34">
        <v>3168</v>
      </c>
      <c r="F34">
        <v>4368</v>
      </c>
      <c r="G34" t="s">
        <v>375</v>
      </c>
      <c r="H34" t="s">
        <v>376</v>
      </c>
      <c r="I34">
        <f t="shared" ref="I34:I51" si="1">IF(ISNUMBER(G34), G34, SUBSTITUTE(G34, ".", ",")*1)</f>
        <v>15.071959257125799</v>
      </c>
    </row>
    <row r="35" spans="1:9" x14ac:dyDescent="0.3">
      <c r="A35" t="s">
        <v>310</v>
      </c>
      <c r="B35">
        <v>50000</v>
      </c>
      <c r="C35">
        <v>20</v>
      </c>
      <c r="D35">
        <v>3177</v>
      </c>
      <c r="E35">
        <v>3162</v>
      </c>
      <c r="F35">
        <v>4602</v>
      </c>
      <c r="G35" t="s">
        <v>377</v>
      </c>
      <c r="H35" t="s">
        <v>378</v>
      </c>
      <c r="I35">
        <f t="shared" si="1"/>
        <v>13.1356954574584</v>
      </c>
    </row>
    <row r="36" spans="1:9" x14ac:dyDescent="0.3">
      <c r="A36" t="s">
        <v>310</v>
      </c>
      <c r="B36">
        <v>50000</v>
      </c>
      <c r="C36">
        <v>5</v>
      </c>
      <c r="D36">
        <v>3177</v>
      </c>
      <c r="E36">
        <v>3166</v>
      </c>
      <c r="F36">
        <v>4446</v>
      </c>
      <c r="G36" t="s">
        <v>379</v>
      </c>
      <c r="H36" t="s">
        <v>380</v>
      </c>
      <c r="I36">
        <f t="shared" si="1"/>
        <v>11.1153483390808</v>
      </c>
    </row>
    <row r="37" spans="1:9" x14ac:dyDescent="0.3">
      <c r="A37" t="s">
        <v>310</v>
      </c>
      <c r="B37">
        <v>5000</v>
      </c>
      <c r="C37">
        <v>1</v>
      </c>
      <c r="D37">
        <v>3177</v>
      </c>
      <c r="E37">
        <v>3177</v>
      </c>
      <c r="F37">
        <v>4797</v>
      </c>
      <c r="G37" t="s">
        <v>381</v>
      </c>
      <c r="H37" t="s">
        <v>382</v>
      </c>
      <c r="I37">
        <f t="shared" si="1"/>
        <v>1.21193099021911</v>
      </c>
    </row>
    <row r="38" spans="1:9" x14ac:dyDescent="0.3">
      <c r="A38" t="s">
        <v>310</v>
      </c>
      <c r="B38">
        <v>5000</v>
      </c>
      <c r="C38">
        <v>10</v>
      </c>
      <c r="D38">
        <v>3177</v>
      </c>
      <c r="E38">
        <v>3173</v>
      </c>
      <c r="F38">
        <v>4953</v>
      </c>
      <c r="G38" t="s">
        <v>383</v>
      </c>
      <c r="H38" t="s">
        <v>384</v>
      </c>
      <c r="I38">
        <f t="shared" si="1"/>
        <v>1.4484531879425</v>
      </c>
    </row>
    <row r="39" spans="1:9" x14ac:dyDescent="0.3">
      <c r="A39" t="s">
        <v>310</v>
      </c>
      <c r="B39">
        <v>5000</v>
      </c>
      <c r="C39">
        <v>15</v>
      </c>
      <c r="D39">
        <v>3177</v>
      </c>
      <c r="E39">
        <v>3160</v>
      </c>
      <c r="F39">
        <v>4680</v>
      </c>
      <c r="G39" t="s">
        <v>385</v>
      </c>
      <c r="H39" t="s">
        <v>386</v>
      </c>
      <c r="I39">
        <f t="shared" si="1"/>
        <v>1.2206552028655999</v>
      </c>
    </row>
    <row r="40" spans="1:9" x14ac:dyDescent="0.3">
      <c r="A40" t="s">
        <v>310</v>
      </c>
      <c r="B40">
        <v>5000</v>
      </c>
      <c r="C40">
        <v>20</v>
      </c>
      <c r="D40">
        <v>3177</v>
      </c>
      <c r="E40">
        <v>3177</v>
      </c>
      <c r="F40">
        <v>4797</v>
      </c>
      <c r="G40" t="s">
        <v>387</v>
      </c>
      <c r="H40" t="s">
        <v>388</v>
      </c>
      <c r="I40">
        <f t="shared" si="1"/>
        <v>1.2179751396179199</v>
      </c>
    </row>
    <row r="41" spans="1:9" x14ac:dyDescent="0.3">
      <c r="A41" t="s">
        <v>310</v>
      </c>
      <c r="B41">
        <v>5000</v>
      </c>
      <c r="C41">
        <v>5</v>
      </c>
      <c r="D41">
        <v>3177</v>
      </c>
      <c r="E41">
        <v>3177</v>
      </c>
      <c r="F41">
        <v>4797</v>
      </c>
      <c r="G41" t="s">
        <v>389</v>
      </c>
      <c r="H41" t="s">
        <v>390</v>
      </c>
      <c r="I41">
        <f t="shared" si="1"/>
        <v>1.3949222564697199</v>
      </c>
    </row>
    <row r="42" spans="1:9" x14ac:dyDescent="0.3">
      <c r="A42" t="s">
        <v>310</v>
      </c>
      <c r="B42">
        <v>500</v>
      </c>
      <c r="C42">
        <v>1</v>
      </c>
      <c r="D42">
        <v>3177</v>
      </c>
      <c r="E42">
        <v>3160</v>
      </c>
      <c r="F42">
        <v>4680</v>
      </c>
      <c r="G42" t="s">
        <v>391</v>
      </c>
      <c r="H42" t="s">
        <v>392</v>
      </c>
      <c r="I42">
        <f t="shared" si="1"/>
        <v>0.10751390457153299</v>
      </c>
    </row>
    <row r="43" spans="1:9" x14ac:dyDescent="0.3">
      <c r="A43" t="s">
        <v>310</v>
      </c>
      <c r="B43">
        <v>500</v>
      </c>
      <c r="C43">
        <v>10</v>
      </c>
      <c r="D43">
        <v>3177</v>
      </c>
      <c r="E43">
        <v>3175</v>
      </c>
      <c r="F43">
        <v>4875</v>
      </c>
      <c r="G43" t="s">
        <v>393</v>
      </c>
      <c r="H43" t="s">
        <v>394</v>
      </c>
      <c r="I43">
        <f t="shared" si="1"/>
        <v>0.121551513671875</v>
      </c>
    </row>
    <row r="44" spans="1:9" x14ac:dyDescent="0.3">
      <c r="A44" t="s">
        <v>310</v>
      </c>
      <c r="B44">
        <v>500</v>
      </c>
      <c r="C44">
        <v>15</v>
      </c>
      <c r="D44">
        <v>3177</v>
      </c>
      <c r="E44">
        <v>3173</v>
      </c>
      <c r="F44">
        <v>4953</v>
      </c>
      <c r="G44" t="s">
        <v>395</v>
      </c>
      <c r="H44" t="s">
        <v>396</v>
      </c>
      <c r="I44">
        <f t="shared" si="1"/>
        <v>0.13614010810852001</v>
      </c>
    </row>
    <row r="45" spans="1:9" x14ac:dyDescent="0.3">
      <c r="A45" t="s">
        <v>310</v>
      </c>
      <c r="B45">
        <v>500</v>
      </c>
      <c r="C45">
        <v>20</v>
      </c>
      <c r="D45">
        <v>3177</v>
      </c>
      <c r="E45">
        <v>3171</v>
      </c>
      <c r="F45">
        <v>5031</v>
      </c>
      <c r="G45" t="s">
        <v>397</v>
      </c>
      <c r="H45" t="s">
        <v>398</v>
      </c>
      <c r="I45">
        <f t="shared" si="1"/>
        <v>0.12754201889038</v>
      </c>
    </row>
    <row r="46" spans="1:9" x14ac:dyDescent="0.3">
      <c r="A46" t="s">
        <v>310</v>
      </c>
      <c r="B46">
        <v>500</v>
      </c>
      <c r="C46">
        <v>5</v>
      </c>
      <c r="D46">
        <v>3177</v>
      </c>
      <c r="E46">
        <v>3171</v>
      </c>
      <c r="F46">
        <v>5031</v>
      </c>
      <c r="G46" t="s">
        <v>399</v>
      </c>
      <c r="H46" t="s">
        <v>400</v>
      </c>
      <c r="I46">
        <f t="shared" si="1"/>
        <v>0.121034383773803</v>
      </c>
    </row>
    <row r="47" spans="1:9" x14ac:dyDescent="0.3">
      <c r="A47" t="s">
        <v>310</v>
      </c>
      <c r="B47">
        <v>50</v>
      </c>
      <c r="C47">
        <v>1</v>
      </c>
      <c r="D47">
        <v>3177</v>
      </c>
      <c r="E47">
        <v>3177</v>
      </c>
      <c r="F47">
        <v>4797</v>
      </c>
      <c r="G47" t="s">
        <v>401</v>
      </c>
      <c r="H47" t="s">
        <v>402</v>
      </c>
      <c r="I47">
        <f t="shared" si="1"/>
        <v>1.1998176574707E-2</v>
      </c>
    </row>
    <row r="48" spans="1:9" x14ac:dyDescent="0.3">
      <c r="A48" t="s">
        <v>310</v>
      </c>
      <c r="B48">
        <v>50</v>
      </c>
      <c r="C48">
        <v>10</v>
      </c>
      <c r="D48">
        <v>3177</v>
      </c>
      <c r="E48">
        <v>3173</v>
      </c>
      <c r="F48">
        <v>4953</v>
      </c>
      <c r="G48" t="s">
        <v>403</v>
      </c>
      <c r="H48" t="s">
        <v>404</v>
      </c>
      <c r="I48">
        <f t="shared" si="1"/>
        <v>1.5033245086669899E-2</v>
      </c>
    </row>
    <row r="49" spans="1:9" x14ac:dyDescent="0.3">
      <c r="A49" t="s">
        <v>310</v>
      </c>
      <c r="B49">
        <v>50</v>
      </c>
      <c r="C49">
        <v>15</v>
      </c>
      <c r="D49">
        <v>3177</v>
      </c>
      <c r="E49">
        <v>3169</v>
      </c>
      <c r="F49">
        <v>5109</v>
      </c>
      <c r="G49" t="s">
        <v>405</v>
      </c>
      <c r="H49" t="s">
        <v>406</v>
      </c>
      <c r="I49">
        <f t="shared" si="1"/>
        <v>1.70750617980957E-2</v>
      </c>
    </row>
    <row r="50" spans="1:9" x14ac:dyDescent="0.3">
      <c r="A50" t="s">
        <v>310</v>
      </c>
      <c r="B50">
        <v>50</v>
      </c>
      <c r="C50">
        <v>20</v>
      </c>
      <c r="D50">
        <v>3177</v>
      </c>
      <c r="E50">
        <v>3175</v>
      </c>
      <c r="F50">
        <v>4875</v>
      </c>
      <c r="G50" t="s">
        <v>407</v>
      </c>
      <c r="H50" t="s">
        <v>408</v>
      </c>
      <c r="I50">
        <f t="shared" si="1"/>
        <v>1.39977931976318E-2</v>
      </c>
    </row>
    <row r="51" spans="1:9" x14ac:dyDescent="0.3">
      <c r="A51" t="s">
        <v>310</v>
      </c>
      <c r="B51">
        <v>50</v>
      </c>
      <c r="C51">
        <v>5</v>
      </c>
      <c r="D51">
        <v>3177</v>
      </c>
      <c r="E51">
        <v>3175</v>
      </c>
      <c r="F51">
        <v>4875</v>
      </c>
      <c r="G51" t="s">
        <v>409</v>
      </c>
      <c r="H51" t="s">
        <v>410</v>
      </c>
      <c r="I51">
        <f t="shared" si="1"/>
        <v>1.3034820556640601E-2</v>
      </c>
    </row>
    <row r="57" spans="1:9" x14ac:dyDescent="0.3">
      <c r="A57" t="s">
        <v>103</v>
      </c>
      <c r="B57">
        <f>AVERAGE(results_4_fusionné[tps_nb])</f>
        <v>42.1057676124572</v>
      </c>
    </row>
    <row r="58" spans="1:9" x14ac:dyDescent="0.3">
      <c r="A58" t="s">
        <v>104</v>
      </c>
      <c r="B58">
        <f>MAX(results_4_fusionné[Total profit])</f>
        <v>5109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4921.8</v>
      </c>
    </row>
    <row r="62" spans="1:9" x14ac:dyDescent="0.3">
      <c r="A62" s="2">
        <v>100</v>
      </c>
      <c r="B62">
        <v>4929.6000000000004</v>
      </c>
    </row>
    <row r="63" spans="1:9" x14ac:dyDescent="0.3">
      <c r="A63" s="2">
        <v>500</v>
      </c>
      <c r="B63">
        <v>4914</v>
      </c>
    </row>
    <row r="64" spans="1:9" x14ac:dyDescent="0.3">
      <c r="A64" s="2">
        <v>1000</v>
      </c>
      <c r="B64">
        <v>4859.3999999999996</v>
      </c>
    </row>
    <row r="65" spans="1:2" x14ac:dyDescent="0.3">
      <c r="A65" s="2">
        <v>5000</v>
      </c>
      <c r="B65">
        <v>4804.8</v>
      </c>
    </row>
    <row r="66" spans="1:2" x14ac:dyDescent="0.3">
      <c r="A66" s="2">
        <v>10000</v>
      </c>
      <c r="B66">
        <v>4524</v>
      </c>
    </row>
    <row r="67" spans="1:2" x14ac:dyDescent="0.3">
      <c r="A67" s="2">
        <v>50000</v>
      </c>
      <c r="B67">
        <v>4547.3999999999996</v>
      </c>
    </row>
    <row r="68" spans="1:2" x14ac:dyDescent="0.3">
      <c r="A68" s="2">
        <v>100000</v>
      </c>
      <c r="B68">
        <v>4578.6000000000004</v>
      </c>
    </row>
    <row r="69" spans="1:2" x14ac:dyDescent="0.3">
      <c r="A69" s="2">
        <v>500000</v>
      </c>
      <c r="B69">
        <v>4547.3999999999996</v>
      </c>
    </row>
    <row r="70" spans="1:2" x14ac:dyDescent="0.3">
      <c r="A70" s="2">
        <v>1000000</v>
      </c>
      <c r="B70">
        <v>4446</v>
      </c>
    </row>
    <row r="71" spans="1:2" x14ac:dyDescent="0.3">
      <c r="A71" s="2" t="s">
        <v>106</v>
      </c>
      <c r="B71">
        <v>4707.3</v>
      </c>
    </row>
    <row r="77" spans="1:2" x14ac:dyDescent="0.3">
      <c r="A77" s="1" t="s">
        <v>105</v>
      </c>
      <c r="B77" t="s">
        <v>107</v>
      </c>
    </row>
    <row r="78" spans="1:2" x14ac:dyDescent="0.3">
      <c r="A78" s="2">
        <v>1</v>
      </c>
      <c r="B78">
        <v>46605</v>
      </c>
    </row>
    <row r="79" spans="1:2" x14ac:dyDescent="0.3">
      <c r="A79" s="2">
        <v>5</v>
      </c>
      <c r="B79">
        <v>46956</v>
      </c>
    </row>
    <row r="80" spans="1:2" x14ac:dyDescent="0.3">
      <c r="A80" s="2">
        <v>10</v>
      </c>
      <c r="B80">
        <v>47229</v>
      </c>
    </row>
    <row r="81" spans="1:2" x14ac:dyDescent="0.3">
      <c r="A81" s="2">
        <v>15</v>
      </c>
      <c r="B81">
        <v>46800</v>
      </c>
    </row>
    <row r="82" spans="1:2" x14ac:dyDescent="0.3">
      <c r="A82" s="2">
        <v>20</v>
      </c>
      <c r="B82">
        <v>47775</v>
      </c>
    </row>
    <row r="83" spans="1:2" x14ac:dyDescent="0.3">
      <c r="A83" s="2" t="s">
        <v>106</v>
      </c>
      <c r="B83">
        <v>235365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1277F-5FA0-4942-A580-966FEAA55DB6}">
  <dimension ref="A1:I83"/>
  <sheetViews>
    <sheetView workbookViewId="0">
      <selection activeCell="A2" sqref="A2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709</v>
      </c>
      <c r="B2">
        <v>1000000</v>
      </c>
      <c r="C2">
        <v>1</v>
      </c>
      <c r="D2">
        <v>31234</v>
      </c>
      <c r="E2">
        <v>31232</v>
      </c>
      <c r="F2">
        <v>42432</v>
      </c>
      <c r="G2" t="s">
        <v>710</v>
      </c>
      <c r="H2" t="s">
        <v>711</v>
      </c>
      <c r="I2">
        <f t="shared" ref="I2:I33" si="0">IF(ISNUMBER(G2), G2, SUBSTITUTE(G2, ".", ",")*1)</f>
        <v>7317.5834751129096</v>
      </c>
    </row>
    <row r="3" spans="1:9" x14ac:dyDescent="0.3">
      <c r="A3" t="s">
        <v>709</v>
      </c>
      <c r="B3">
        <v>1000000</v>
      </c>
      <c r="C3">
        <v>10</v>
      </c>
      <c r="D3">
        <v>31234</v>
      </c>
      <c r="E3">
        <v>31224</v>
      </c>
      <c r="F3">
        <v>42744</v>
      </c>
      <c r="G3" t="s">
        <v>712</v>
      </c>
      <c r="H3" t="s">
        <v>713</v>
      </c>
      <c r="I3">
        <f t="shared" si="0"/>
        <v>7089.7162210941297</v>
      </c>
    </row>
    <row r="4" spans="1:9" x14ac:dyDescent="0.3">
      <c r="A4" t="s">
        <v>709</v>
      </c>
      <c r="B4">
        <v>1000000</v>
      </c>
      <c r="C4">
        <v>15</v>
      </c>
      <c r="D4">
        <v>31234</v>
      </c>
      <c r="E4">
        <v>31225</v>
      </c>
      <c r="F4">
        <v>43485</v>
      </c>
      <c r="G4" t="s">
        <v>714</v>
      </c>
      <c r="H4" t="s">
        <v>715</v>
      </c>
      <c r="I4">
        <f t="shared" si="0"/>
        <v>6459.6730494499197</v>
      </c>
    </row>
    <row r="5" spans="1:9" x14ac:dyDescent="0.3">
      <c r="A5" t="s">
        <v>709</v>
      </c>
      <c r="B5">
        <v>1000000</v>
      </c>
      <c r="C5">
        <v>20</v>
      </c>
      <c r="D5">
        <v>31234</v>
      </c>
      <c r="E5">
        <v>31227</v>
      </c>
      <c r="F5">
        <v>41847</v>
      </c>
      <c r="G5" t="s">
        <v>716</v>
      </c>
      <c r="H5" t="s">
        <v>717</v>
      </c>
      <c r="I5">
        <f t="shared" si="0"/>
        <v>5772.6349134445099</v>
      </c>
    </row>
    <row r="6" spans="1:9" x14ac:dyDescent="0.3">
      <c r="A6" t="s">
        <v>709</v>
      </c>
      <c r="B6">
        <v>1000000</v>
      </c>
      <c r="C6">
        <v>5</v>
      </c>
      <c r="D6">
        <v>31234</v>
      </c>
      <c r="E6">
        <v>31219</v>
      </c>
      <c r="F6">
        <v>42159</v>
      </c>
      <c r="G6" t="s">
        <v>718</v>
      </c>
      <c r="H6" t="s">
        <v>719</v>
      </c>
      <c r="I6">
        <f t="shared" si="0"/>
        <v>6836.7424933910297</v>
      </c>
    </row>
    <row r="7" spans="1:9" x14ac:dyDescent="0.3">
      <c r="A7" t="s">
        <v>709</v>
      </c>
      <c r="B7">
        <v>100000</v>
      </c>
      <c r="C7">
        <v>1</v>
      </c>
      <c r="D7">
        <v>31234</v>
      </c>
      <c r="E7">
        <v>31228</v>
      </c>
      <c r="F7">
        <v>41028</v>
      </c>
      <c r="G7" t="s">
        <v>720</v>
      </c>
      <c r="H7" t="s">
        <v>721</v>
      </c>
      <c r="I7">
        <f t="shared" si="0"/>
        <v>704.97473335266102</v>
      </c>
    </row>
    <row r="8" spans="1:9" x14ac:dyDescent="0.3">
      <c r="A8" t="s">
        <v>709</v>
      </c>
      <c r="B8">
        <v>100000</v>
      </c>
      <c r="C8">
        <v>10</v>
      </c>
      <c r="D8">
        <v>31234</v>
      </c>
      <c r="E8">
        <v>31231</v>
      </c>
      <c r="F8">
        <v>41691</v>
      </c>
      <c r="G8" t="s">
        <v>722</v>
      </c>
      <c r="H8" t="s">
        <v>723</v>
      </c>
      <c r="I8">
        <f t="shared" si="0"/>
        <v>770.73567724227905</v>
      </c>
    </row>
    <row r="9" spans="1:9" x14ac:dyDescent="0.3">
      <c r="A9" t="s">
        <v>709</v>
      </c>
      <c r="B9">
        <v>100000</v>
      </c>
      <c r="C9">
        <v>15</v>
      </c>
      <c r="D9">
        <v>31234</v>
      </c>
      <c r="E9">
        <v>31217</v>
      </c>
      <c r="F9">
        <v>42237</v>
      </c>
      <c r="G9" t="s">
        <v>724</v>
      </c>
      <c r="H9" t="s">
        <v>725</v>
      </c>
      <c r="I9">
        <f t="shared" si="0"/>
        <v>777.55440020561196</v>
      </c>
    </row>
    <row r="10" spans="1:9" x14ac:dyDescent="0.3">
      <c r="A10" t="s">
        <v>709</v>
      </c>
      <c r="B10">
        <v>100000</v>
      </c>
      <c r="C10">
        <v>20</v>
      </c>
      <c r="D10">
        <v>31234</v>
      </c>
      <c r="E10">
        <v>31224</v>
      </c>
      <c r="F10">
        <v>42744</v>
      </c>
      <c r="G10" t="s">
        <v>726</v>
      </c>
      <c r="H10" t="s">
        <v>727</v>
      </c>
      <c r="I10">
        <f t="shared" si="0"/>
        <v>790.67456007003705</v>
      </c>
    </row>
    <row r="11" spans="1:9" x14ac:dyDescent="0.3">
      <c r="A11" t="s">
        <v>709</v>
      </c>
      <c r="B11">
        <v>100000</v>
      </c>
      <c r="C11">
        <v>5</v>
      </c>
      <c r="D11">
        <v>31234</v>
      </c>
      <c r="E11">
        <v>31228</v>
      </c>
      <c r="F11">
        <v>42588</v>
      </c>
      <c r="G11" t="s">
        <v>728</v>
      </c>
      <c r="H11" t="s">
        <v>729</v>
      </c>
      <c r="I11">
        <f t="shared" si="0"/>
        <v>756.27871632575898</v>
      </c>
    </row>
    <row r="12" spans="1:9" x14ac:dyDescent="0.3">
      <c r="A12" t="s">
        <v>709</v>
      </c>
      <c r="B12">
        <v>10000</v>
      </c>
      <c r="C12">
        <v>1</v>
      </c>
      <c r="D12">
        <v>31234</v>
      </c>
      <c r="E12">
        <v>31229</v>
      </c>
      <c r="F12">
        <v>41769</v>
      </c>
      <c r="G12" t="s">
        <v>730</v>
      </c>
      <c r="H12" t="s">
        <v>731</v>
      </c>
      <c r="I12">
        <f t="shared" si="0"/>
        <v>74.282402038574205</v>
      </c>
    </row>
    <row r="13" spans="1:9" x14ac:dyDescent="0.3">
      <c r="A13" t="s">
        <v>709</v>
      </c>
      <c r="B13">
        <v>10000</v>
      </c>
      <c r="C13">
        <v>10</v>
      </c>
      <c r="D13">
        <v>31234</v>
      </c>
      <c r="E13">
        <v>31218</v>
      </c>
      <c r="F13">
        <v>41418</v>
      </c>
      <c r="G13" t="s">
        <v>732</v>
      </c>
      <c r="H13" t="s">
        <v>733</v>
      </c>
      <c r="I13">
        <f t="shared" si="0"/>
        <v>74.061536788940401</v>
      </c>
    </row>
    <row r="14" spans="1:9" x14ac:dyDescent="0.3">
      <c r="A14" t="s">
        <v>709</v>
      </c>
      <c r="B14">
        <v>10000</v>
      </c>
      <c r="C14">
        <v>15</v>
      </c>
      <c r="D14">
        <v>31234</v>
      </c>
      <c r="E14">
        <v>31216</v>
      </c>
      <c r="F14">
        <v>43056</v>
      </c>
      <c r="G14" t="s">
        <v>734</v>
      </c>
      <c r="H14" t="s">
        <v>735</v>
      </c>
      <c r="I14">
        <f t="shared" si="0"/>
        <v>84.3295445442199</v>
      </c>
    </row>
    <row r="15" spans="1:9" x14ac:dyDescent="0.3">
      <c r="A15" t="s">
        <v>709</v>
      </c>
      <c r="B15">
        <v>10000</v>
      </c>
      <c r="C15">
        <v>20</v>
      </c>
      <c r="D15">
        <v>31234</v>
      </c>
      <c r="E15">
        <v>31233</v>
      </c>
      <c r="F15">
        <v>43173</v>
      </c>
      <c r="G15" t="s">
        <v>736</v>
      </c>
      <c r="H15" t="s">
        <v>737</v>
      </c>
      <c r="I15">
        <f t="shared" si="0"/>
        <v>88.493695020675602</v>
      </c>
    </row>
    <row r="16" spans="1:9" x14ac:dyDescent="0.3">
      <c r="A16" t="s">
        <v>709</v>
      </c>
      <c r="B16">
        <v>10000</v>
      </c>
      <c r="C16">
        <v>5</v>
      </c>
      <c r="D16">
        <v>31234</v>
      </c>
      <c r="E16">
        <v>31219</v>
      </c>
      <c r="F16">
        <v>42159</v>
      </c>
      <c r="G16" t="s">
        <v>738</v>
      </c>
      <c r="H16" t="s">
        <v>739</v>
      </c>
      <c r="I16">
        <f t="shared" si="0"/>
        <v>77.482759714126502</v>
      </c>
    </row>
    <row r="17" spans="1:9" x14ac:dyDescent="0.3">
      <c r="A17" t="s">
        <v>709</v>
      </c>
      <c r="B17">
        <v>1000</v>
      </c>
      <c r="C17">
        <v>1</v>
      </c>
      <c r="D17">
        <v>31234</v>
      </c>
      <c r="E17">
        <v>31234</v>
      </c>
      <c r="F17">
        <v>43914</v>
      </c>
      <c r="G17" t="s">
        <v>740</v>
      </c>
      <c r="H17" t="s">
        <v>741</v>
      </c>
      <c r="I17">
        <f t="shared" si="0"/>
        <v>9.3443162441253609</v>
      </c>
    </row>
    <row r="18" spans="1:9" x14ac:dyDescent="0.3">
      <c r="A18" t="s">
        <v>709</v>
      </c>
      <c r="B18">
        <v>1000</v>
      </c>
      <c r="C18">
        <v>10</v>
      </c>
      <c r="D18">
        <v>31234</v>
      </c>
      <c r="E18">
        <v>31223</v>
      </c>
      <c r="F18">
        <v>43563</v>
      </c>
      <c r="G18" t="s">
        <v>742</v>
      </c>
      <c r="H18" t="s">
        <v>743</v>
      </c>
      <c r="I18">
        <f t="shared" si="0"/>
        <v>8.8104307651519704</v>
      </c>
    </row>
    <row r="19" spans="1:9" x14ac:dyDescent="0.3">
      <c r="A19" t="s">
        <v>709</v>
      </c>
      <c r="B19">
        <v>1000</v>
      </c>
      <c r="C19">
        <v>15</v>
      </c>
      <c r="D19">
        <v>31234</v>
      </c>
      <c r="E19">
        <v>31229</v>
      </c>
      <c r="F19">
        <v>43329</v>
      </c>
      <c r="G19" t="s">
        <v>744</v>
      </c>
      <c r="H19" t="s">
        <v>745</v>
      </c>
      <c r="I19">
        <f t="shared" si="0"/>
        <v>8.5570373535156197</v>
      </c>
    </row>
    <row r="20" spans="1:9" x14ac:dyDescent="0.3">
      <c r="A20" t="s">
        <v>709</v>
      </c>
      <c r="B20">
        <v>1000</v>
      </c>
      <c r="C20">
        <v>20</v>
      </c>
      <c r="D20">
        <v>31234</v>
      </c>
      <c r="E20">
        <v>31229</v>
      </c>
      <c r="F20">
        <v>43329</v>
      </c>
      <c r="G20" t="s">
        <v>746</v>
      </c>
      <c r="H20" t="s">
        <v>747</v>
      </c>
      <c r="I20">
        <f t="shared" si="0"/>
        <v>8.3590352535247803</v>
      </c>
    </row>
    <row r="21" spans="1:9" x14ac:dyDescent="0.3">
      <c r="A21" t="s">
        <v>709</v>
      </c>
      <c r="B21">
        <v>1000</v>
      </c>
      <c r="C21">
        <v>5</v>
      </c>
      <c r="D21">
        <v>31234</v>
      </c>
      <c r="E21">
        <v>31221</v>
      </c>
      <c r="F21">
        <v>43641</v>
      </c>
      <c r="G21" t="s">
        <v>748</v>
      </c>
      <c r="H21" t="s">
        <v>749</v>
      </c>
      <c r="I21">
        <f t="shared" si="0"/>
        <v>8.5191409587860107</v>
      </c>
    </row>
    <row r="22" spans="1:9" x14ac:dyDescent="0.3">
      <c r="A22" t="s">
        <v>709</v>
      </c>
      <c r="B22">
        <v>100</v>
      </c>
      <c r="C22">
        <v>1</v>
      </c>
      <c r="D22">
        <v>31234</v>
      </c>
      <c r="E22">
        <v>31229</v>
      </c>
      <c r="F22">
        <v>43329</v>
      </c>
      <c r="G22" t="s">
        <v>750</v>
      </c>
      <c r="H22" t="s">
        <v>751</v>
      </c>
      <c r="I22">
        <f t="shared" si="0"/>
        <v>0.66265606880187899</v>
      </c>
    </row>
    <row r="23" spans="1:9" x14ac:dyDescent="0.3">
      <c r="A23" t="s">
        <v>709</v>
      </c>
      <c r="B23">
        <v>100</v>
      </c>
      <c r="C23">
        <v>10</v>
      </c>
      <c r="D23">
        <v>31234</v>
      </c>
      <c r="E23">
        <v>31231</v>
      </c>
      <c r="F23">
        <v>43251</v>
      </c>
      <c r="G23" t="s">
        <v>752</v>
      </c>
      <c r="H23" t="s">
        <v>753</v>
      </c>
      <c r="I23">
        <f t="shared" si="0"/>
        <v>1.188072681427</v>
      </c>
    </row>
    <row r="24" spans="1:9" x14ac:dyDescent="0.3">
      <c r="A24" t="s">
        <v>709</v>
      </c>
      <c r="B24">
        <v>100</v>
      </c>
      <c r="C24">
        <v>15</v>
      </c>
      <c r="D24">
        <v>31234</v>
      </c>
      <c r="E24">
        <v>31218</v>
      </c>
      <c r="F24">
        <v>42978</v>
      </c>
      <c r="G24" t="s">
        <v>754</v>
      </c>
      <c r="H24" t="s">
        <v>755</v>
      </c>
      <c r="I24">
        <f t="shared" si="0"/>
        <v>0.86274766921997004</v>
      </c>
    </row>
    <row r="25" spans="1:9" x14ac:dyDescent="0.3">
      <c r="A25" t="s">
        <v>709</v>
      </c>
      <c r="B25">
        <v>100</v>
      </c>
      <c r="C25">
        <v>20</v>
      </c>
      <c r="D25">
        <v>31234</v>
      </c>
      <c r="E25">
        <v>31225</v>
      </c>
      <c r="F25">
        <v>43485</v>
      </c>
      <c r="G25" t="s">
        <v>756</v>
      </c>
      <c r="H25" t="s">
        <v>757</v>
      </c>
      <c r="I25">
        <f t="shared" si="0"/>
        <v>0.88718318939208896</v>
      </c>
    </row>
    <row r="26" spans="1:9" x14ac:dyDescent="0.3">
      <c r="A26" t="s">
        <v>709</v>
      </c>
      <c r="B26">
        <v>100</v>
      </c>
      <c r="C26">
        <v>5</v>
      </c>
      <c r="D26">
        <v>31234</v>
      </c>
      <c r="E26">
        <v>31232</v>
      </c>
      <c r="F26">
        <v>42432</v>
      </c>
      <c r="G26" t="s">
        <v>758</v>
      </c>
      <c r="H26" t="s">
        <v>759</v>
      </c>
      <c r="I26">
        <f t="shared" si="0"/>
        <v>0.65534257888793901</v>
      </c>
    </row>
    <row r="27" spans="1:9" x14ac:dyDescent="0.3">
      <c r="A27" t="s">
        <v>709</v>
      </c>
      <c r="B27">
        <v>500000</v>
      </c>
      <c r="C27">
        <v>1</v>
      </c>
      <c r="D27">
        <v>31234</v>
      </c>
      <c r="E27">
        <v>31219</v>
      </c>
      <c r="F27">
        <v>42159</v>
      </c>
      <c r="G27" t="s">
        <v>760</v>
      </c>
      <c r="H27" t="s">
        <v>761</v>
      </c>
      <c r="I27">
        <f t="shared" si="0"/>
        <v>3686.0928847789701</v>
      </c>
    </row>
    <row r="28" spans="1:9" x14ac:dyDescent="0.3">
      <c r="A28" t="s">
        <v>709</v>
      </c>
      <c r="B28">
        <v>500000</v>
      </c>
      <c r="C28">
        <v>10</v>
      </c>
      <c r="D28">
        <v>31234</v>
      </c>
      <c r="E28">
        <v>31232</v>
      </c>
      <c r="F28">
        <v>42432</v>
      </c>
      <c r="G28" t="s">
        <v>762</v>
      </c>
      <c r="H28" t="s">
        <v>763</v>
      </c>
      <c r="I28">
        <f t="shared" si="0"/>
        <v>3696.2810924053101</v>
      </c>
    </row>
    <row r="29" spans="1:9" x14ac:dyDescent="0.3">
      <c r="A29" t="s">
        <v>709</v>
      </c>
      <c r="B29">
        <v>500000</v>
      </c>
      <c r="C29">
        <v>15</v>
      </c>
      <c r="D29">
        <v>31234</v>
      </c>
      <c r="E29">
        <v>31220</v>
      </c>
      <c r="F29">
        <v>41340</v>
      </c>
      <c r="G29" t="s">
        <v>764</v>
      </c>
      <c r="H29" t="s">
        <v>765</v>
      </c>
      <c r="I29">
        <f t="shared" si="0"/>
        <v>3537.81972599029</v>
      </c>
    </row>
    <row r="30" spans="1:9" x14ac:dyDescent="0.3">
      <c r="A30" t="s">
        <v>709</v>
      </c>
      <c r="B30">
        <v>500000</v>
      </c>
      <c r="C30">
        <v>20</v>
      </c>
      <c r="D30">
        <v>31234</v>
      </c>
      <c r="E30">
        <v>31231</v>
      </c>
      <c r="F30">
        <v>41691</v>
      </c>
      <c r="G30" t="s">
        <v>766</v>
      </c>
      <c r="H30" t="s">
        <v>767</v>
      </c>
      <c r="I30">
        <f t="shared" si="0"/>
        <v>3400.0369436740798</v>
      </c>
    </row>
    <row r="31" spans="1:9" x14ac:dyDescent="0.3">
      <c r="A31" t="s">
        <v>709</v>
      </c>
      <c r="B31">
        <v>500000</v>
      </c>
      <c r="C31">
        <v>5</v>
      </c>
      <c r="D31">
        <v>31234</v>
      </c>
      <c r="E31">
        <v>31228</v>
      </c>
      <c r="F31">
        <v>41028</v>
      </c>
      <c r="G31" t="s">
        <v>768</v>
      </c>
      <c r="H31" t="s">
        <v>769</v>
      </c>
      <c r="I31">
        <f t="shared" si="0"/>
        <v>3410.4650278091399</v>
      </c>
    </row>
    <row r="32" spans="1:9" x14ac:dyDescent="0.3">
      <c r="A32" t="s">
        <v>709</v>
      </c>
      <c r="B32">
        <v>50000</v>
      </c>
      <c r="C32">
        <v>1</v>
      </c>
      <c r="D32">
        <v>31234</v>
      </c>
      <c r="E32">
        <v>31220</v>
      </c>
      <c r="F32">
        <v>41340</v>
      </c>
      <c r="G32" t="s">
        <v>770</v>
      </c>
      <c r="H32" t="s">
        <v>771</v>
      </c>
      <c r="I32">
        <f t="shared" si="0"/>
        <v>371.30281972885098</v>
      </c>
    </row>
    <row r="33" spans="1:9" x14ac:dyDescent="0.3">
      <c r="A33" t="s">
        <v>709</v>
      </c>
      <c r="B33">
        <v>50000</v>
      </c>
      <c r="C33">
        <v>10</v>
      </c>
      <c r="D33">
        <v>31234</v>
      </c>
      <c r="E33">
        <v>31224</v>
      </c>
      <c r="F33">
        <v>42744</v>
      </c>
      <c r="G33" t="s">
        <v>772</v>
      </c>
      <c r="H33" t="s">
        <v>773</v>
      </c>
      <c r="I33">
        <f t="shared" si="0"/>
        <v>398.28559327125498</v>
      </c>
    </row>
    <row r="34" spans="1:9" x14ac:dyDescent="0.3">
      <c r="A34" t="s">
        <v>709</v>
      </c>
      <c r="B34">
        <v>50000</v>
      </c>
      <c r="C34">
        <v>15</v>
      </c>
      <c r="D34">
        <v>31234</v>
      </c>
      <c r="E34">
        <v>31227</v>
      </c>
      <c r="F34">
        <v>41847</v>
      </c>
      <c r="G34" t="s">
        <v>774</v>
      </c>
      <c r="H34" t="s">
        <v>775</v>
      </c>
      <c r="I34">
        <f t="shared" ref="I34:I51" si="1">IF(ISNUMBER(G34), G34, SUBSTITUTE(G34, ".", ",")*1)</f>
        <v>403.87468719482399</v>
      </c>
    </row>
    <row r="35" spans="1:9" x14ac:dyDescent="0.3">
      <c r="A35" t="s">
        <v>709</v>
      </c>
      <c r="B35">
        <v>50000</v>
      </c>
      <c r="C35">
        <v>20</v>
      </c>
      <c r="D35">
        <v>31234</v>
      </c>
      <c r="E35">
        <v>31225</v>
      </c>
      <c r="F35">
        <v>41925</v>
      </c>
      <c r="G35" t="s">
        <v>776</v>
      </c>
      <c r="H35" t="s">
        <v>777</v>
      </c>
      <c r="I35">
        <f t="shared" si="1"/>
        <v>379.25850105285599</v>
      </c>
    </row>
    <row r="36" spans="1:9" x14ac:dyDescent="0.3">
      <c r="A36" t="s">
        <v>709</v>
      </c>
      <c r="B36">
        <v>50000</v>
      </c>
      <c r="C36">
        <v>5</v>
      </c>
      <c r="D36">
        <v>31234</v>
      </c>
      <c r="E36">
        <v>31216</v>
      </c>
      <c r="F36">
        <v>41496</v>
      </c>
      <c r="G36" t="s">
        <v>778</v>
      </c>
      <c r="H36" t="s">
        <v>779</v>
      </c>
      <c r="I36">
        <f t="shared" si="1"/>
        <v>416.64143204688997</v>
      </c>
    </row>
    <row r="37" spans="1:9" x14ac:dyDescent="0.3">
      <c r="A37" t="s">
        <v>709</v>
      </c>
      <c r="B37">
        <v>5000</v>
      </c>
      <c r="C37">
        <v>1</v>
      </c>
      <c r="D37">
        <v>31234</v>
      </c>
      <c r="E37">
        <v>31232</v>
      </c>
      <c r="F37">
        <v>43992</v>
      </c>
      <c r="G37" t="s">
        <v>780</v>
      </c>
      <c r="H37" t="s">
        <v>781</v>
      </c>
      <c r="I37">
        <f t="shared" si="1"/>
        <v>43.488549709319997</v>
      </c>
    </row>
    <row r="38" spans="1:9" x14ac:dyDescent="0.3">
      <c r="A38" t="s">
        <v>709</v>
      </c>
      <c r="B38">
        <v>5000</v>
      </c>
      <c r="C38">
        <v>10</v>
      </c>
      <c r="D38">
        <v>31234</v>
      </c>
      <c r="E38">
        <v>31216</v>
      </c>
      <c r="F38">
        <v>43056</v>
      </c>
      <c r="G38" t="s">
        <v>782</v>
      </c>
      <c r="H38" t="s">
        <v>783</v>
      </c>
      <c r="I38">
        <f t="shared" si="1"/>
        <v>40.746193408966001</v>
      </c>
    </row>
    <row r="39" spans="1:9" x14ac:dyDescent="0.3">
      <c r="A39" t="s">
        <v>709</v>
      </c>
      <c r="B39">
        <v>5000</v>
      </c>
      <c r="C39">
        <v>15</v>
      </c>
      <c r="D39">
        <v>31234</v>
      </c>
      <c r="E39">
        <v>31219</v>
      </c>
      <c r="F39">
        <v>43719</v>
      </c>
      <c r="G39" t="s">
        <v>784</v>
      </c>
      <c r="H39" t="s">
        <v>785</v>
      </c>
      <c r="I39">
        <f t="shared" si="1"/>
        <v>42.498386859893799</v>
      </c>
    </row>
    <row r="40" spans="1:9" x14ac:dyDescent="0.3">
      <c r="A40" t="s">
        <v>709</v>
      </c>
      <c r="B40">
        <v>5000</v>
      </c>
      <c r="C40">
        <v>20</v>
      </c>
      <c r="D40">
        <v>31234</v>
      </c>
      <c r="E40">
        <v>31228</v>
      </c>
      <c r="F40">
        <v>42588</v>
      </c>
      <c r="G40" t="s">
        <v>786</v>
      </c>
      <c r="H40" t="s">
        <v>787</v>
      </c>
      <c r="I40">
        <f t="shared" si="1"/>
        <v>42.333159446716301</v>
      </c>
    </row>
    <row r="41" spans="1:9" x14ac:dyDescent="0.3">
      <c r="A41" t="s">
        <v>709</v>
      </c>
      <c r="B41">
        <v>5000</v>
      </c>
      <c r="C41">
        <v>5</v>
      </c>
      <c r="D41">
        <v>31234</v>
      </c>
      <c r="E41">
        <v>31233</v>
      </c>
      <c r="F41">
        <v>43173</v>
      </c>
      <c r="G41" t="s">
        <v>788</v>
      </c>
      <c r="H41" t="s">
        <v>789</v>
      </c>
      <c r="I41">
        <f t="shared" si="1"/>
        <v>45.8368401527404</v>
      </c>
    </row>
    <row r="42" spans="1:9" x14ac:dyDescent="0.3">
      <c r="A42" t="s">
        <v>709</v>
      </c>
      <c r="B42">
        <v>500</v>
      </c>
      <c r="C42">
        <v>1</v>
      </c>
      <c r="D42">
        <v>31234</v>
      </c>
      <c r="E42">
        <v>31226</v>
      </c>
      <c r="F42">
        <v>42666</v>
      </c>
      <c r="G42" t="s">
        <v>790</v>
      </c>
      <c r="H42" t="s">
        <v>791</v>
      </c>
      <c r="I42">
        <f t="shared" si="1"/>
        <v>4.8234755992889404</v>
      </c>
    </row>
    <row r="43" spans="1:9" x14ac:dyDescent="0.3">
      <c r="A43" t="s">
        <v>709</v>
      </c>
      <c r="B43">
        <v>500</v>
      </c>
      <c r="C43">
        <v>10</v>
      </c>
      <c r="D43">
        <v>31234</v>
      </c>
      <c r="E43">
        <v>31231</v>
      </c>
      <c r="F43">
        <v>43251</v>
      </c>
      <c r="G43" t="s">
        <v>792</v>
      </c>
      <c r="H43" t="s">
        <v>793</v>
      </c>
      <c r="I43">
        <f t="shared" si="1"/>
        <v>4.3518574237823398</v>
      </c>
    </row>
    <row r="44" spans="1:9" x14ac:dyDescent="0.3">
      <c r="A44" t="s">
        <v>709</v>
      </c>
      <c r="B44">
        <v>500</v>
      </c>
      <c r="C44">
        <v>15</v>
      </c>
      <c r="D44">
        <v>31234</v>
      </c>
      <c r="E44">
        <v>31220</v>
      </c>
      <c r="F44">
        <v>42900</v>
      </c>
      <c r="G44" t="s">
        <v>794</v>
      </c>
      <c r="H44" t="s">
        <v>795</v>
      </c>
      <c r="I44">
        <f t="shared" si="1"/>
        <v>4.54026103019714</v>
      </c>
    </row>
    <row r="45" spans="1:9" x14ac:dyDescent="0.3">
      <c r="A45" t="s">
        <v>709</v>
      </c>
      <c r="B45">
        <v>500</v>
      </c>
      <c r="C45">
        <v>20</v>
      </c>
      <c r="D45">
        <v>31234</v>
      </c>
      <c r="E45">
        <v>31222</v>
      </c>
      <c r="F45">
        <v>44382</v>
      </c>
      <c r="G45" t="s">
        <v>796</v>
      </c>
      <c r="H45" t="s">
        <v>797</v>
      </c>
      <c r="I45">
        <f t="shared" si="1"/>
        <v>4.5430915355682302</v>
      </c>
    </row>
    <row r="46" spans="1:9" x14ac:dyDescent="0.3">
      <c r="A46" t="s">
        <v>709</v>
      </c>
      <c r="B46">
        <v>500</v>
      </c>
      <c r="C46">
        <v>5</v>
      </c>
      <c r="D46">
        <v>31234</v>
      </c>
      <c r="E46">
        <v>31227</v>
      </c>
      <c r="F46">
        <v>43407</v>
      </c>
      <c r="G46" t="s">
        <v>798</v>
      </c>
      <c r="H46" t="s">
        <v>799</v>
      </c>
      <c r="I46">
        <f t="shared" si="1"/>
        <v>4.0643155574798504</v>
      </c>
    </row>
    <row r="47" spans="1:9" x14ac:dyDescent="0.3">
      <c r="A47" t="s">
        <v>709</v>
      </c>
      <c r="B47">
        <v>50</v>
      </c>
      <c r="C47">
        <v>1</v>
      </c>
      <c r="D47">
        <v>31234</v>
      </c>
      <c r="E47">
        <v>31216</v>
      </c>
      <c r="F47">
        <v>43056</v>
      </c>
      <c r="G47" t="s">
        <v>800</v>
      </c>
      <c r="H47" t="s">
        <v>801</v>
      </c>
      <c r="I47">
        <f t="shared" si="1"/>
        <v>0.329652309417724</v>
      </c>
    </row>
    <row r="48" spans="1:9" x14ac:dyDescent="0.3">
      <c r="A48" t="s">
        <v>709</v>
      </c>
      <c r="B48">
        <v>50</v>
      </c>
      <c r="C48">
        <v>10</v>
      </c>
      <c r="D48">
        <v>31234</v>
      </c>
      <c r="E48">
        <v>31224</v>
      </c>
      <c r="F48">
        <v>44304</v>
      </c>
      <c r="G48" t="s">
        <v>802</v>
      </c>
      <c r="H48" t="s">
        <v>803</v>
      </c>
      <c r="I48">
        <f t="shared" si="1"/>
        <v>0.38352346420288003</v>
      </c>
    </row>
    <row r="49" spans="1:9" x14ac:dyDescent="0.3">
      <c r="A49" t="s">
        <v>709</v>
      </c>
      <c r="B49">
        <v>50</v>
      </c>
      <c r="C49">
        <v>15</v>
      </c>
      <c r="D49">
        <v>31234</v>
      </c>
      <c r="E49">
        <v>31225</v>
      </c>
      <c r="F49">
        <v>43485</v>
      </c>
      <c r="G49" t="s">
        <v>804</v>
      </c>
      <c r="H49" t="s">
        <v>805</v>
      </c>
      <c r="I49">
        <f t="shared" si="1"/>
        <v>0.38427948951721103</v>
      </c>
    </row>
    <row r="50" spans="1:9" x14ac:dyDescent="0.3">
      <c r="A50" t="s">
        <v>709</v>
      </c>
      <c r="B50">
        <v>50</v>
      </c>
      <c r="C50">
        <v>20</v>
      </c>
      <c r="D50">
        <v>31234</v>
      </c>
      <c r="E50">
        <v>31231</v>
      </c>
      <c r="F50">
        <v>43251</v>
      </c>
      <c r="G50" t="s">
        <v>806</v>
      </c>
      <c r="H50" t="s">
        <v>807</v>
      </c>
      <c r="I50">
        <f t="shared" si="1"/>
        <v>0.39640760421752902</v>
      </c>
    </row>
    <row r="51" spans="1:9" x14ac:dyDescent="0.3">
      <c r="A51" t="s">
        <v>709</v>
      </c>
      <c r="B51">
        <v>50</v>
      </c>
      <c r="C51">
        <v>5</v>
      </c>
      <c r="D51">
        <v>31234</v>
      </c>
      <c r="E51">
        <v>31222</v>
      </c>
      <c r="F51">
        <v>44382</v>
      </c>
      <c r="G51" t="s">
        <v>808</v>
      </c>
      <c r="H51" t="s">
        <v>809</v>
      </c>
      <c r="I51">
        <f t="shared" si="1"/>
        <v>0.378003120422363</v>
      </c>
    </row>
    <row r="57" spans="1:9" x14ac:dyDescent="0.3">
      <c r="A57" t="s">
        <v>103</v>
      </c>
      <c r="B57">
        <f>AVERAGE(results_5_fusionné[tps_nb])</f>
        <v>1153.2444169044484</v>
      </c>
    </row>
    <row r="58" spans="1:9" x14ac:dyDescent="0.3">
      <c r="A58" t="s">
        <v>104</v>
      </c>
      <c r="B58">
        <f>MAX(results_5_fusionné[Total profit])</f>
        <v>44382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43695.6</v>
      </c>
    </row>
    <row r="62" spans="1:9" x14ac:dyDescent="0.3">
      <c r="A62" s="2">
        <v>100</v>
      </c>
      <c r="B62">
        <v>43095</v>
      </c>
    </row>
    <row r="63" spans="1:9" x14ac:dyDescent="0.3">
      <c r="A63" s="2">
        <v>500</v>
      </c>
      <c r="B63">
        <v>43321.2</v>
      </c>
    </row>
    <row r="64" spans="1:9" x14ac:dyDescent="0.3">
      <c r="A64" s="2">
        <v>1000</v>
      </c>
      <c r="B64">
        <v>43555.199999999997</v>
      </c>
    </row>
    <row r="65" spans="1:2" x14ac:dyDescent="0.3">
      <c r="A65" s="2">
        <v>5000</v>
      </c>
      <c r="B65">
        <v>43305.599999999999</v>
      </c>
    </row>
    <row r="66" spans="1:2" x14ac:dyDescent="0.3">
      <c r="A66" s="2">
        <v>10000</v>
      </c>
      <c r="B66">
        <v>42315</v>
      </c>
    </row>
    <row r="67" spans="1:2" x14ac:dyDescent="0.3">
      <c r="A67" s="2">
        <v>50000</v>
      </c>
      <c r="B67">
        <v>41870.400000000001</v>
      </c>
    </row>
    <row r="68" spans="1:2" x14ac:dyDescent="0.3">
      <c r="A68" s="2">
        <v>100000</v>
      </c>
      <c r="B68">
        <v>42057.599999999999</v>
      </c>
    </row>
    <row r="69" spans="1:2" x14ac:dyDescent="0.3">
      <c r="A69" s="2">
        <v>500000</v>
      </c>
      <c r="B69">
        <v>41730</v>
      </c>
    </row>
    <row r="70" spans="1:2" x14ac:dyDescent="0.3">
      <c r="A70" s="2">
        <v>1000000</v>
      </c>
      <c r="B70">
        <v>42533.4</v>
      </c>
    </row>
    <row r="71" spans="1:2" x14ac:dyDescent="0.3">
      <c r="A71" s="2" t="s">
        <v>106</v>
      </c>
      <c r="B71">
        <v>42747.9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42568.5</v>
      </c>
    </row>
    <row r="79" spans="1:2" x14ac:dyDescent="0.3">
      <c r="A79" s="2">
        <v>5</v>
      </c>
      <c r="B79">
        <v>42646.5</v>
      </c>
    </row>
    <row r="80" spans="1:2" x14ac:dyDescent="0.3">
      <c r="A80" s="2">
        <v>10</v>
      </c>
      <c r="B80">
        <v>42845.4</v>
      </c>
    </row>
    <row r="81" spans="1:2" x14ac:dyDescent="0.3">
      <c r="A81" s="2">
        <v>15</v>
      </c>
      <c r="B81">
        <v>42837.599999999999</v>
      </c>
    </row>
    <row r="82" spans="1:2" x14ac:dyDescent="0.3">
      <c r="A82" s="2">
        <v>20</v>
      </c>
      <c r="B82">
        <v>42841.5</v>
      </c>
    </row>
    <row r="83" spans="1:2" x14ac:dyDescent="0.3">
      <c r="A83" s="2" t="s">
        <v>106</v>
      </c>
      <c r="B83">
        <v>42747.9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333D-9352-4E8C-943C-B55DA3EA9D21}">
  <dimension ref="A1:I83"/>
  <sheetViews>
    <sheetView workbookViewId="0">
      <selection activeCell="A2" sqref="A2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411</v>
      </c>
      <c r="B2">
        <v>1000000</v>
      </c>
      <c r="C2">
        <v>1</v>
      </c>
      <c r="D2">
        <v>997</v>
      </c>
      <c r="E2">
        <v>997</v>
      </c>
      <c r="F2">
        <v>1002</v>
      </c>
      <c r="G2" t="s">
        <v>412</v>
      </c>
      <c r="H2" t="s">
        <v>413</v>
      </c>
      <c r="I2">
        <f>IF(ISNUMBER(G2), G2, SUBSTITUTE(G2, ".", ",")*1)</f>
        <v>19.119575262069699</v>
      </c>
    </row>
    <row r="3" spans="1:9" x14ac:dyDescent="0.3">
      <c r="A3" t="s">
        <v>411</v>
      </c>
      <c r="B3">
        <v>1000000</v>
      </c>
      <c r="C3">
        <v>10</v>
      </c>
      <c r="D3">
        <v>997</v>
      </c>
      <c r="E3">
        <v>996</v>
      </c>
      <c r="F3">
        <v>1002</v>
      </c>
      <c r="G3" t="s">
        <v>414</v>
      </c>
      <c r="H3" t="s">
        <v>415</v>
      </c>
      <c r="I3">
        <f t="shared" ref="I3:I33" si="0">IF(ISNUMBER(G3), G3, SUBSTITUTE(G3, ".", ",")*1)</f>
        <v>9.6917152404779995E-4</v>
      </c>
    </row>
    <row r="4" spans="1:9" x14ac:dyDescent="0.3">
      <c r="A4" t="s">
        <v>411</v>
      </c>
      <c r="B4">
        <v>1000000</v>
      </c>
      <c r="C4">
        <v>15</v>
      </c>
      <c r="D4">
        <v>997</v>
      </c>
      <c r="E4">
        <v>997</v>
      </c>
      <c r="F4">
        <v>1005</v>
      </c>
      <c r="G4" t="s">
        <v>416</v>
      </c>
      <c r="H4" t="s">
        <v>417</v>
      </c>
      <c r="I4">
        <f t="shared" si="0"/>
        <v>1.9989013671875E-3</v>
      </c>
    </row>
    <row r="5" spans="1:9" x14ac:dyDescent="0.3">
      <c r="A5" t="s">
        <v>411</v>
      </c>
      <c r="B5">
        <v>1000000</v>
      </c>
      <c r="C5">
        <v>20</v>
      </c>
      <c r="D5">
        <v>997</v>
      </c>
      <c r="E5">
        <v>997</v>
      </c>
      <c r="F5">
        <v>999</v>
      </c>
      <c r="G5" t="s">
        <v>418</v>
      </c>
      <c r="H5" t="s">
        <v>419</v>
      </c>
      <c r="I5">
        <f t="shared" si="0"/>
        <v>1.0018348693846999E-3</v>
      </c>
    </row>
    <row r="6" spans="1:9" x14ac:dyDescent="0.3">
      <c r="A6" t="s">
        <v>411</v>
      </c>
      <c r="B6">
        <v>1000000</v>
      </c>
      <c r="C6">
        <v>5</v>
      </c>
      <c r="D6">
        <v>997</v>
      </c>
      <c r="E6">
        <v>997</v>
      </c>
      <c r="F6">
        <v>1002</v>
      </c>
      <c r="G6" t="s">
        <v>420</v>
      </c>
      <c r="H6" t="s">
        <v>421</v>
      </c>
      <c r="I6">
        <f t="shared" si="0"/>
        <v>23.432671546936</v>
      </c>
    </row>
    <row r="7" spans="1:9" x14ac:dyDescent="0.3">
      <c r="A7" t="s">
        <v>411</v>
      </c>
      <c r="B7">
        <v>100000</v>
      </c>
      <c r="C7">
        <v>1</v>
      </c>
      <c r="D7">
        <v>997</v>
      </c>
      <c r="E7">
        <v>997</v>
      </c>
      <c r="F7">
        <v>1002</v>
      </c>
      <c r="G7" t="s">
        <v>422</v>
      </c>
      <c r="H7" t="s">
        <v>423</v>
      </c>
      <c r="I7">
        <f t="shared" si="0"/>
        <v>1.9012548923492401</v>
      </c>
    </row>
    <row r="8" spans="1:9" x14ac:dyDescent="0.3">
      <c r="A8" t="s">
        <v>411</v>
      </c>
      <c r="B8">
        <v>100000</v>
      </c>
      <c r="C8">
        <v>10</v>
      </c>
      <c r="D8">
        <v>997</v>
      </c>
      <c r="E8">
        <v>997</v>
      </c>
      <c r="F8">
        <v>1002</v>
      </c>
      <c r="G8" t="s">
        <v>424</v>
      </c>
      <c r="H8" t="s">
        <v>425</v>
      </c>
      <c r="I8">
        <f t="shared" si="0"/>
        <v>1.0004043579101001E-3</v>
      </c>
    </row>
    <row r="9" spans="1:9" x14ac:dyDescent="0.3">
      <c r="A9" t="s">
        <v>411</v>
      </c>
      <c r="B9">
        <v>100000</v>
      </c>
      <c r="C9">
        <v>15</v>
      </c>
      <c r="D9">
        <v>997</v>
      </c>
      <c r="E9">
        <v>997</v>
      </c>
      <c r="F9">
        <v>1002</v>
      </c>
      <c r="G9" t="s">
        <v>426</v>
      </c>
      <c r="H9" t="s">
        <v>427</v>
      </c>
      <c r="I9">
        <f t="shared" si="0"/>
        <v>2.5131247043609601</v>
      </c>
    </row>
    <row r="10" spans="1:9" x14ac:dyDescent="0.3">
      <c r="A10" t="s">
        <v>411</v>
      </c>
      <c r="B10">
        <v>100000</v>
      </c>
      <c r="C10">
        <v>20</v>
      </c>
      <c r="D10">
        <v>997</v>
      </c>
      <c r="E10">
        <v>996</v>
      </c>
      <c r="F10">
        <v>1005</v>
      </c>
      <c r="G10" t="s">
        <v>428</v>
      </c>
      <c r="H10" t="s">
        <v>429</v>
      </c>
      <c r="I10">
        <f t="shared" si="0"/>
        <v>2.3696627616882302</v>
      </c>
    </row>
    <row r="11" spans="1:9" x14ac:dyDescent="0.3">
      <c r="A11" t="s">
        <v>411</v>
      </c>
      <c r="B11">
        <v>100000</v>
      </c>
      <c r="C11">
        <v>5</v>
      </c>
      <c r="D11">
        <v>997</v>
      </c>
      <c r="E11">
        <v>993</v>
      </c>
      <c r="F11">
        <v>999</v>
      </c>
      <c r="G11" t="s">
        <v>430</v>
      </c>
      <c r="H11" t="s">
        <v>431</v>
      </c>
      <c r="I11">
        <f t="shared" si="0"/>
        <v>2.1761944293975799</v>
      </c>
    </row>
    <row r="12" spans="1:9" x14ac:dyDescent="0.3">
      <c r="A12" t="s">
        <v>411</v>
      </c>
      <c r="B12">
        <v>10000</v>
      </c>
      <c r="C12">
        <v>1</v>
      </c>
      <c r="D12">
        <v>997</v>
      </c>
      <c r="E12">
        <v>995</v>
      </c>
      <c r="F12">
        <v>999</v>
      </c>
      <c r="G12" t="s">
        <v>432</v>
      </c>
      <c r="H12" t="s">
        <v>433</v>
      </c>
      <c r="I12">
        <f t="shared" si="0"/>
        <v>0.20918869972229001</v>
      </c>
    </row>
    <row r="13" spans="1:9" x14ac:dyDescent="0.3">
      <c r="A13" t="s">
        <v>411</v>
      </c>
      <c r="B13">
        <v>10000</v>
      </c>
      <c r="C13">
        <v>10</v>
      </c>
      <c r="D13">
        <v>997</v>
      </c>
      <c r="E13">
        <v>997</v>
      </c>
      <c r="F13">
        <v>1002</v>
      </c>
      <c r="G13" t="s">
        <v>434</v>
      </c>
      <c r="H13" t="s">
        <v>435</v>
      </c>
      <c r="I13">
        <f t="shared" si="0"/>
        <v>0.23622465133666901</v>
      </c>
    </row>
    <row r="14" spans="1:9" x14ac:dyDescent="0.3">
      <c r="A14" t="s">
        <v>411</v>
      </c>
      <c r="B14">
        <v>10000</v>
      </c>
      <c r="C14">
        <v>15</v>
      </c>
      <c r="D14">
        <v>997</v>
      </c>
      <c r="E14">
        <v>997</v>
      </c>
      <c r="F14">
        <v>1002</v>
      </c>
      <c r="G14" t="s">
        <v>436</v>
      </c>
      <c r="H14" t="s">
        <v>437</v>
      </c>
      <c r="I14">
        <f t="shared" si="0"/>
        <v>9.6797943115229995E-4</v>
      </c>
    </row>
    <row r="15" spans="1:9" x14ac:dyDescent="0.3">
      <c r="A15" t="s">
        <v>411</v>
      </c>
      <c r="B15">
        <v>10000</v>
      </c>
      <c r="C15">
        <v>20</v>
      </c>
      <c r="D15">
        <v>997</v>
      </c>
      <c r="E15">
        <v>996</v>
      </c>
      <c r="F15">
        <v>1002</v>
      </c>
      <c r="G15" t="s">
        <v>438</v>
      </c>
      <c r="H15" t="s">
        <v>439</v>
      </c>
      <c r="I15">
        <f t="shared" si="0"/>
        <v>9.9635124206539998E-4</v>
      </c>
    </row>
    <row r="16" spans="1:9" x14ac:dyDescent="0.3">
      <c r="A16" t="s">
        <v>411</v>
      </c>
      <c r="B16">
        <v>10000</v>
      </c>
      <c r="C16">
        <v>5</v>
      </c>
      <c r="D16">
        <v>997</v>
      </c>
      <c r="E16">
        <v>997</v>
      </c>
      <c r="F16">
        <v>1002</v>
      </c>
      <c r="G16" t="s">
        <v>440</v>
      </c>
      <c r="H16" t="s">
        <v>441</v>
      </c>
      <c r="I16">
        <f t="shared" si="0"/>
        <v>0.28456330299377403</v>
      </c>
    </row>
    <row r="17" spans="1:9" x14ac:dyDescent="0.3">
      <c r="A17" t="s">
        <v>411</v>
      </c>
      <c r="B17">
        <v>1000</v>
      </c>
      <c r="C17">
        <v>1</v>
      </c>
      <c r="D17">
        <v>997</v>
      </c>
      <c r="E17">
        <v>997</v>
      </c>
      <c r="F17">
        <v>1008</v>
      </c>
      <c r="G17" t="s">
        <v>442</v>
      </c>
      <c r="H17" t="s">
        <v>443</v>
      </c>
      <c r="I17">
        <f t="shared" si="0"/>
        <v>2.3031949996948201E-2</v>
      </c>
    </row>
    <row r="18" spans="1:9" x14ac:dyDescent="0.3">
      <c r="A18" t="s">
        <v>411</v>
      </c>
      <c r="B18">
        <v>1000</v>
      </c>
      <c r="C18">
        <v>10</v>
      </c>
      <c r="D18">
        <v>997</v>
      </c>
      <c r="E18">
        <v>997</v>
      </c>
      <c r="F18">
        <v>1002</v>
      </c>
      <c r="G18" t="s">
        <v>444</v>
      </c>
      <c r="H18" t="s">
        <v>445</v>
      </c>
      <c r="I18">
        <f t="shared" si="0"/>
        <v>2.3999214172363201E-2</v>
      </c>
    </row>
    <row r="19" spans="1:9" x14ac:dyDescent="0.3">
      <c r="A19" t="s">
        <v>411</v>
      </c>
      <c r="B19">
        <v>1000</v>
      </c>
      <c r="C19">
        <v>15</v>
      </c>
      <c r="D19">
        <v>997</v>
      </c>
      <c r="E19">
        <v>997</v>
      </c>
      <c r="F19">
        <v>1002</v>
      </c>
      <c r="G19" t="s">
        <v>446</v>
      </c>
      <c r="H19" t="s">
        <v>447</v>
      </c>
      <c r="I19">
        <f t="shared" si="0"/>
        <v>1.0032653808593E-3</v>
      </c>
    </row>
    <row r="20" spans="1:9" x14ac:dyDescent="0.3">
      <c r="A20" t="s">
        <v>411</v>
      </c>
      <c r="B20">
        <v>1000</v>
      </c>
      <c r="C20">
        <v>20</v>
      </c>
      <c r="D20">
        <v>997</v>
      </c>
      <c r="E20">
        <v>997</v>
      </c>
      <c r="F20">
        <v>1002</v>
      </c>
      <c r="G20" t="s">
        <v>11</v>
      </c>
      <c r="H20" t="s">
        <v>448</v>
      </c>
      <c r="I20">
        <f t="shared" si="0"/>
        <v>0</v>
      </c>
    </row>
    <row r="21" spans="1:9" x14ac:dyDescent="0.3">
      <c r="A21" t="s">
        <v>411</v>
      </c>
      <c r="B21">
        <v>1000</v>
      </c>
      <c r="C21">
        <v>5</v>
      </c>
      <c r="D21">
        <v>997</v>
      </c>
      <c r="E21">
        <v>995</v>
      </c>
      <c r="F21">
        <v>1002</v>
      </c>
      <c r="G21" t="s">
        <v>449</v>
      </c>
      <c r="H21" t="s">
        <v>450</v>
      </c>
      <c r="I21">
        <f t="shared" si="0"/>
        <v>2.3160934448242101E-2</v>
      </c>
    </row>
    <row r="22" spans="1:9" x14ac:dyDescent="0.3">
      <c r="A22" t="s">
        <v>411</v>
      </c>
      <c r="B22">
        <v>100</v>
      </c>
      <c r="C22">
        <v>1</v>
      </c>
      <c r="D22">
        <v>997</v>
      </c>
      <c r="E22">
        <v>995</v>
      </c>
      <c r="F22">
        <v>1002</v>
      </c>
      <c r="G22" t="s">
        <v>451</v>
      </c>
      <c r="H22" t="s">
        <v>452</v>
      </c>
      <c r="I22">
        <f t="shared" si="0"/>
        <v>3.0345916748045999E-3</v>
      </c>
    </row>
    <row r="23" spans="1:9" x14ac:dyDescent="0.3">
      <c r="A23" t="s">
        <v>411</v>
      </c>
      <c r="B23">
        <v>100</v>
      </c>
      <c r="C23">
        <v>10</v>
      </c>
      <c r="D23">
        <v>997</v>
      </c>
      <c r="E23">
        <v>997</v>
      </c>
      <c r="F23">
        <v>1002</v>
      </c>
      <c r="G23" t="s">
        <v>453</v>
      </c>
      <c r="H23" t="s">
        <v>454</v>
      </c>
      <c r="I23">
        <f t="shared" si="0"/>
        <v>1.9981861114500999E-3</v>
      </c>
    </row>
    <row r="24" spans="1:9" x14ac:dyDescent="0.3">
      <c r="A24" t="s">
        <v>411</v>
      </c>
      <c r="B24">
        <v>100</v>
      </c>
      <c r="C24">
        <v>15</v>
      </c>
      <c r="D24">
        <v>997</v>
      </c>
      <c r="E24">
        <v>996</v>
      </c>
      <c r="F24">
        <v>1002</v>
      </c>
      <c r="G24" t="s">
        <v>455</v>
      </c>
      <c r="H24" t="s">
        <v>456</v>
      </c>
      <c r="I24">
        <f t="shared" si="0"/>
        <v>4.0004253387450998E-3</v>
      </c>
    </row>
    <row r="25" spans="1:9" x14ac:dyDescent="0.3">
      <c r="A25" t="s">
        <v>411</v>
      </c>
      <c r="B25">
        <v>100</v>
      </c>
      <c r="C25">
        <v>20</v>
      </c>
      <c r="D25">
        <v>997</v>
      </c>
      <c r="E25">
        <v>997</v>
      </c>
      <c r="F25">
        <v>1002</v>
      </c>
      <c r="G25" t="s">
        <v>457</v>
      </c>
      <c r="H25" t="s">
        <v>458</v>
      </c>
      <c r="I25">
        <f t="shared" si="0"/>
        <v>1.0011196136474E-3</v>
      </c>
    </row>
    <row r="26" spans="1:9" x14ac:dyDescent="0.3">
      <c r="A26" t="s">
        <v>411</v>
      </c>
      <c r="B26">
        <v>100</v>
      </c>
      <c r="C26">
        <v>5</v>
      </c>
      <c r="D26">
        <v>997</v>
      </c>
      <c r="E26">
        <v>997</v>
      </c>
      <c r="F26">
        <v>1005</v>
      </c>
      <c r="G26" t="s">
        <v>459</v>
      </c>
      <c r="H26" t="s">
        <v>460</v>
      </c>
      <c r="I26">
        <f t="shared" si="0"/>
        <v>3.0016899108885999E-3</v>
      </c>
    </row>
    <row r="27" spans="1:9" x14ac:dyDescent="0.3">
      <c r="A27" t="s">
        <v>411</v>
      </c>
      <c r="B27">
        <v>500000</v>
      </c>
      <c r="C27">
        <v>1</v>
      </c>
      <c r="D27">
        <v>997</v>
      </c>
      <c r="E27">
        <v>997</v>
      </c>
      <c r="F27">
        <v>1002</v>
      </c>
      <c r="G27" t="s">
        <v>461</v>
      </c>
      <c r="H27" t="s">
        <v>462</v>
      </c>
      <c r="I27">
        <f t="shared" si="0"/>
        <v>12.264229536056501</v>
      </c>
    </row>
    <row r="28" spans="1:9" x14ac:dyDescent="0.3">
      <c r="A28" t="s">
        <v>411</v>
      </c>
      <c r="B28">
        <v>500000</v>
      </c>
      <c r="C28">
        <v>10</v>
      </c>
      <c r="D28">
        <v>997</v>
      </c>
      <c r="E28">
        <v>997</v>
      </c>
      <c r="F28">
        <v>1005</v>
      </c>
      <c r="G28" t="s">
        <v>463</v>
      </c>
      <c r="H28" t="s">
        <v>464</v>
      </c>
      <c r="I28">
        <f t="shared" si="0"/>
        <v>12.321033954620299</v>
      </c>
    </row>
    <row r="29" spans="1:9" x14ac:dyDescent="0.3">
      <c r="A29" t="s">
        <v>411</v>
      </c>
      <c r="B29">
        <v>500000</v>
      </c>
      <c r="C29">
        <v>15</v>
      </c>
      <c r="D29">
        <v>997</v>
      </c>
      <c r="E29">
        <v>996</v>
      </c>
      <c r="F29">
        <v>999</v>
      </c>
      <c r="G29" t="s">
        <v>465</v>
      </c>
      <c r="H29" t="s">
        <v>466</v>
      </c>
      <c r="I29">
        <f t="shared" si="0"/>
        <v>9.7298622131340002E-4</v>
      </c>
    </row>
    <row r="30" spans="1:9" x14ac:dyDescent="0.3">
      <c r="A30" t="s">
        <v>411</v>
      </c>
      <c r="B30">
        <v>500000</v>
      </c>
      <c r="C30">
        <v>20</v>
      </c>
      <c r="D30">
        <v>997</v>
      </c>
      <c r="E30">
        <v>997</v>
      </c>
      <c r="F30">
        <v>1002</v>
      </c>
      <c r="G30" t="s">
        <v>467</v>
      </c>
      <c r="H30" t="s">
        <v>468</v>
      </c>
      <c r="I30">
        <f t="shared" si="0"/>
        <v>2.0327568054199002E-3</v>
      </c>
    </row>
    <row r="31" spans="1:9" x14ac:dyDescent="0.3">
      <c r="A31" t="s">
        <v>411</v>
      </c>
      <c r="B31">
        <v>500000</v>
      </c>
      <c r="C31">
        <v>5</v>
      </c>
      <c r="D31">
        <v>997</v>
      </c>
      <c r="E31">
        <v>996</v>
      </c>
      <c r="F31">
        <v>1002</v>
      </c>
      <c r="G31" t="s">
        <v>469</v>
      </c>
      <c r="H31" t="s">
        <v>470</v>
      </c>
      <c r="I31">
        <f t="shared" si="0"/>
        <v>12.3816685676574</v>
      </c>
    </row>
    <row r="32" spans="1:9" x14ac:dyDescent="0.3">
      <c r="A32" t="s">
        <v>411</v>
      </c>
      <c r="B32">
        <v>50000</v>
      </c>
      <c r="C32">
        <v>1</v>
      </c>
      <c r="D32">
        <v>997</v>
      </c>
      <c r="E32">
        <v>996</v>
      </c>
      <c r="F32">
        <v>1002</v>
      </c>
      <c r="G32" t="s">
        <v>471</v>
      </c>
      <c r="H32" t="s">
        <v>472</v>
      </c>
      <c r="I32">
        <f t="shared" si="0"/>
        <v>0.99103164672851496</v>
      </c>
    </row>
    <row r="33" spans="1:9" x14ac:dyDescent="0.3">
      <c r="A33" t="s">
        <v>411</v>
      </c>
      <c r="B33">
        <v>50000</v>
      </c>
      <c r="C33">
        <v>10</v>
      </c>
      <c r="D33">
        <v>997</v>
      </c>
      <c r="E33">
        <v>997</v>
      </c>
      <c r="F33">
        <v>1002</v>
      </c>
      <c r="G33" t="s">
        <v>473</v>
      </c>
      <c r="H33" t="s">
        <v>474</v>
      </c>
      <c r="I33">
        <f t="shared" si="0"/>
        <v>1.32693886756896</v>
      </c>
    </row>
    <row r="34" spans="1:9" x14ac:dyDescent="0.3">
      <c r="A34" t="s">
        <v>411</v>
      </c>
      <c r="B34">
        <v>50000</v>
      </c>
      <c r="C34">
        <v>15</v>
      </c>
      <c r="D34">
        <v>997</v>
      </c>
      <c r="E34">
        <v>997</v>
      </c>
      <c r="F34">
        <v>999</v>
      </c>
      <c r="G34" t="s">
        <v>11</v>
      </c>
      <c r="H34" t="s">
        <v>475</v>
      </c>
      <c r="I34">
        <f t="shared" ref="I34:I51" si="1">IF(ISNUMBER(G34), G34, SUBSTITUTE(G34, ".", ",")*1)</f>
        <v>0</v>
      </c>
    </row>
    <row r="35" spans="1:9" x14ac:dyDescent="0.3">
      <c r="A35" t="s">
        <v>411</v>
      </c>
      <c r="B35">
        <v>50000</v>
      </c>
      <c r="C35">
        <v>20</v>
      </c>
      <c r="D35">
        <v>997</v>
      </c>
      <c r="E35">
        <v>994</v>
      </c>
      <c r="F35">
        <v>1002</v>
      </c>
      <c r="G35" t="s">
        <v>476</v>
      </c>
      <c r="H35" t="s">
        <v>477</v>
      </c>
      <c r="I35">
        <f t="shared" si="1"/>
        <v>1.0085105895996001E-3</v>
      </c>
    </row>
    <row r="36" spans="1:9" x14ac:dyDescent="0.3">
      <c r="A36" t="s">
        <v>411</v>
      </c>
      <c r="B36">
        <v>50000</v>
      </c>
      <c r="C36">
        <v>5</v>
      </c>
      <c r="D36">
        <v>997</v>
      </c>
      <c r="E36">
        <v>996</v>
      </c>
      <c r="F36">
        <v>1002</v>
      </c>
      <c r="G36" t="s">
        <v>478</v>
      </c>
      <c r="H36" t="s">
        <v>479</v>
      </c>
      <c r="I36">
        <f t="shared" si="1"/>
        <v>1.40893650054931</v>
      </c>
    </row>
    <row r="37" spans="1:9" x14ac:dyDescent="0.3">
      <c r="A37" t="s">
        <v>411</v>
      </c>
      <c r="B37">
        <v>5000</v>
      </c>
      <c r="C37">
        <v>1</v>
      </c>
      <c r="D37">
        <v>997</v>
      </c>
      <c r="E37">
        <v>997</v>
      </c>
      <c r="F37">
        <v>1002</v>
      </c>
      <c r="G37" t="s">
        <v>480</v>
      </c>
      <c r="H37" t="s">
        <v>481</v>
      </c>
      <c r="I37">
        <f t="shared" si="1"/>
        <v>0.10659146308898899</v>
      </c>
    </row>
    <row r="38" spans="1:9" x14ac:dyDescent="0.3">
      <c r="A38" t="s">
        <v>411</v>
      </c>
      <c r="B38">
        <v>5000</v>
      </c>
      <c r="C38">
        <v>10</v>
      </c>
      <c r="D38">
        <v>997</v>
      </c>
      <c r="E38">
        <v>997</v>
      </c>
      <c r="F38">
        <v>1002</v>
      </c>
      <c r="G38" t="s">
        <v>482</v>
      </c>
      <c r="H38" t="s">
        <v>483</v>
      </c>
      <c r="I38">
        <f t="shared" si="1"/>
        <v>9.5915794372549996E-4</v>
      </c>
    </row>
    <row r="39" spans="1:9" x14ac:dyDescent="0.3">
      <c r="A39" t="s">
        <v>411</v>
      </c>
      <c r="B39">
        <v>5000</v>
      </c>
      <c r="C39">
        <v>15</v>
      </c>
      <c r="D39">
        <v>997</v>
      </c>
      <c r="E39">
        <v>997</v>
      </c>
      <c r="F39">
        <v>1002</v>
      </c>
      <c r="G39" t="s">
        <v>484</v>
      </c>
      <c r="H39" t="s">
        <v>485</v>
      </c>
      <c r="I39">
        <f t="shared" si="1"/>
        <v>9.9968910217279995E-4</v>
      </c>
    </row>
    <row r="40" spans="1:9" x14ac:dyDescent="0.3">
      <c r="A40" t="s">
        <v>411</v>
      </c>
      <c r="B40">
        <v>5000</v>
      </c>
      <c r="C40">
        <v>20</v>
      </c>
      <c r="D40">
        <v>997</v>
      </c>
      <c r="E40">
        <v>997</v>
      </c>
      <c r="F40">
        <v>1002</v>
      </c>
      <c r="G40" t="s">
        <v>486</v>
      </c>
      <c r="H40" t="s">
        <v>487</v>
      </c>
      <c r="I40">
        <f t="shared" si="1"/>
        <v>9.6464157104489997E-4</v>
      </c>
    </row>
    <row r="41" spans="1:9" x14ac:dyDescent="0.3">
      <c r="A41" t="s">
        <v>411</v>
      </c>
      <c r="B41">
        <v>5000</v>
      </c>
      <c r="C41">
        <v>5</v>
      </c>
      <c r="D41">
        <v>997</v>
      </c>
      <c r="E41">
        <v>995</v>
      </c>
      <c r="F41">
        <v>1002</v>
      </c>
      <c r="G41" t="s">
        <v>488</v>
      </c>
      <c r="H41" t="s">
        <v>489</v>
      </c>
      <c r="I41">
        <f t="shared" si="1"/>
        <v>0.110260248184204</v>
      </c>
    </row>
    <row r="42" spans="1:9" x14ac:dyDescent="0.3">
      <c r="A42" t="s">
        <v>411</v>
      </c>
      <c r="B42">
        <v>500</v>
      </c>
      <c r="C42">
        <v>1</v>
      </c>
      <c r="D42">
        <v>997</v>
      </c>
      <c r="E42">
        <v>997</v>
      </c>
      <c r="F42">
        <v>1002</v>
      </c>
      <c r="G42" t="s">
        <v>490</v>
      </c>
      <c r="H42" t="s">
        <v>491</v>
      </c>
      <c r="I42">
        <f t="shared" si="1"/>
        <v>1.0104894638061499E-2</v>
      </c>
    </row>
    <row r="43" spans="1:9" x14ac:dyDescent="0.3">
      <c r="A43" t="s">
        <v>411</v>
      </c>
      <c r="B43">
        <v>500</v>
      </c>
      <c r="C43">
        <v>10</v>
      </c>
      <c r="D43">
        <v>997</v>
      </c>
      <c r="E43">
        <v>996</v>
      </c>
      <c r="F43">
        <v>1005</v>
      </c>
      <c r="G43" t="s">
        <v>492</v>
      </c>
      <c r="H43" t="s">
        <v>493</v>
      </c>
      <c r="I43">
        <f t="shared" si="1"/>
        <v>1.21428966522216E-2</v>
      </c>
    </row>
    <row r="44" spans="1:9" x14ac:dyDescent="0.3">
      <c r="A44" t="s">
        <v>411</v>
      </c>
      <c r="B44">
        <v>500</v>
      </c>
      <c r="C44">
        <v>15</v>
      </c>
      <c r="D44">
        <v>997</v>
      </c>
      <c r="E44">
        <v>995</v>
      </c>
      <c r="F44">
        <v>1002</v>
      </c>
      <c r="G44" t="s">
        <v>438</v>
      </c>
      <c r="H44" t="s">
        <v>494</v>
      </c>
      <c r="I44">
        <f t="shared" si="1"/>
        <v>9.9635124206539998E-4</v>
      </c>
    </row>
    <row r="45" spans="1:9" x14ac:dyDescent="0.3">
      <c r="A45" t="s">
        <v>411</v>
      </c>
      <c r="B45">
        <v>500</v>
      </c>
      <c r="C45">
        <v>20</v>
      </c>
      <c r="D45">
        <v>997</v>
      </c>
      <c r="E45">
        <v>997</v>
      </c>
      <c r="F45">
        <v>1005</v>
      </c>
      <c r="G45" t="s">
        <v>495</v>
      </c>
      <c r="H45" t="s">
        <v>496</v>
      </c>
      <c r="I45">
        <f t="shared" si="1"/>
        <v>1.0371208190916999E-3</v>
      </c>
    </row>
    <row r="46" spans="1:9" x14ac:dyDescent="0.3">
      <c r="A46" t="s">
        <v>411</v>
      </c>
      <c r="B46">
        <v>500</v>
      </c>
      <c r="C46">
        <v>5</v>
      </c>
      <c r="D46">
        <v>997</v>
      </c>
      <c r="E46">
        <v>996</v>
      </c>
      <c r="F46">
        <v>1005</v>
      </c>
      <c r="G46" t="s">
        <v>497</v>
      </c>
      <c r="H46" t="s">
        <v>498</v>
      </c>
      <c r="I46">
        <f t="shared" si="1"/>
        <v>1.10344886779785E-2</v>
      </c>
    </row>
    <row r="47" spans="1:9" x14ac:dyDescent="0.3">
      <c r="A47" t="s">
        <v>411</v>
      </c>
      <c r="B47">
        <v>50</v>
      </c>
      <c r="C47">
        <v>1</v>
      </c>
      <c r="D47">
        <v>997</v>
      </c>
      <c r="E47">
        <v>995</v>
      </c>
      <c r="F47">
        <v>999</v>
      </c>
      <c r="G47" t="s">
        <v>499</v>
      </c>
      <c r="H47" t="s">
        <v>500</v>
      </c>
      <c r="I47">
        <f t="shared" si="1"/>
        <v>2.0036697387695E-3</v>
      </c>
    </row>
    <row r="48" spans="1:9" x14ac:dyDescent="0.3">
      <c r="A48" t="s">
        <v>411</v>
      </c>
      <c r="B48">
        <v>50</v>
      </c>
      <c r="C48">
        <v>10</v>
      </c>
      <c r="D48">
        <v>997</v>
      </c>
      <c r="E48">
        <v>996</v>
      </c>
      <c r="F48">
        <v>1002</v>
      </c>
      <c r="G48" t="s">
        <v>484</v>
      </c>
      <c r="H48" t="s">
        <v>501</v>
      </c>
      <c r="I48">
        <f t="shared" si="1"/>
        <v>9.9968910217279995E-4</v>
      </c>
    </row>
    <row r="49" spans="1:9" x14ac:dyDescent="0.3">
      <c r="A49" t="s">
        <v>411</v>
      </c>
      <c r="B49">
        <v>50</v>
      </c>
      <c r="C49">
        <v>15</v>
      </c>
      <c r="D49">
        <v>997</v>
      </c>
      <c r="E49">
        <v>997</v>
      </c>
      <c r="F49">
        <v>1002</v>
      </c>
      <c r="G49" t="s">
        <v>484</v>
      </c>
      <c r="H49" t="s">
        <v>502</v>
      </c>
      <c r="I49">
        <f t="shared" si="1"/>
        <v>9.9968910217279995E-4</v>
      </c>
    </row>
    <row r="50" spans="1:9" x14ac:dyDescent="0.3">
      <c r="A50" t="s">
        <v>411</v>
      </c>
      <c r="B50">
        <v>50</v>
      </c>
      <c r="C50">
        <v>20</v>
      </c>
      <c r="D50">
        <v>997</v>
      </c>
      <c r="E50">
        <v>997</v>
      </c>
      <c r="F50">
        <v>1005</v>
      </c>
      <c r="G50" t="s">
        <v>503</v>
      </c>
      <c r="H50" t="s">
        <v>504</v>
      </c>
      <c r="I50">
        <f t="shared" si="1"/>
        <v>1.9998550415039002E-3</v>
      </c>
    </row>
    <row r="51" spans="1:9" x14ac:dyDescent="0.3">
      <c r="A51" t="s">
        <v>411</v>
      </c>
      <c r="B51">
        <v>50</v>
      </c>
      <c r="C51">
        <v>5</v>
      </c>
      <c r="D51">
        <v>997</v>
      </c>
      <c r="E51">
        <v>997</v>
      </c>
      <c r="F51">
        <v>1002</v>
      </c>
      <c r="G51" t="s">
        <v>505</v>
      </c>
      <c r="H51" t="s">
        <v>506</v>
      </c>
      <c r="I51">
        <f t="shared" si="1"/>
        <v>9.9325180053710005E-4</v>
      </c>
    </row>
    <row r="57" spans="1:9" x14ac:dyDescent="0.3">
      <c r="A57" t="s">
        <v>103</v>
      </c>
      <c r="B57">
        <f>AVERAGE(results_6_fusionné[tps_nb])</f>
        <v>1.8658713340759236</v>
      </c>
    </row>
    <row r="58" spans="1:9" x14ac:dyDescent="0.3">
      <c r="A58" t="s">
        <v>104</v>
      </c>
      <c r="B58">
        <f>MAX(results_6_fusionné[Total profit])</f>
        <v>1008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1002</v>
      </c>
    </row>
    <row r="62" spans="1:9" x14ac:dyDescent="0.3">
      <c r="A62" s="2">
        <v>100</v>
      </c>
      <c r="B62">
        <v>1002.6</v>
      </c>
    </row>
    <row r="63" spans="1:9" x14ac:dyDescent="0.3">
      <c r="A63" s="2">
        <v>500</v>
      </c>
      <c r="B63">
        <v>1003.8</v>
      </c>
    </row>
    <row r="64" spans="1:9" x14ac:dyDescent="0.3">
      <c r="A64" s="2">
        <v>1000</v>
      </c>
      <c r="B64">
        <v>1003.2</v>
      </c>
    </row>
    <row r="65" spans="1:2" x14ac:dyDescent="0.3">
      <c r="A65" s="2">
        <v>5000</v>
      </c>
      <c r="B65">
        <v>1002</v>
      </c>
    </row>
    <row r="66" spans="1:2" x14ac:dyDescent="0.3">
      <c r="A66" s="2">
        <v>10000</v>
      </c>
      <c r="B66">
        <v>1001.4</v>
      </c>
    </row>
    <row r="67" spans="1:2" x14ac:dyDescent="0.3">
      <c r="A67" s="2">
        <v>50000</v>
      </c>
      <c r="B67">
        <v>1001.4</v>
      </c>
    </row>
    <row r="68" spans="1:2" x14ac:dyDescent="0.3">
      <c r="A68" s="2">
        <v>100000</v>
      </c>
      <c r="B68">
        <v>1002</v>
      </c>
    </row>
    <row r="69" spans="1:2" x14ac:dyDescent="0.3">
      <c r="A69" s="2">
        <v>500000</v>
      </c>
      <c r="B69">
        <v>1002</v>
      </c>
    </row>
    <row r="70" spans="1:2" x14ac:dyDescent="0.3">
      <c r="A70" s="2">
        <v>1000000</v>
      </c>
      <c r="B70">
        <v>1002</v>
      </c>
    </row>
    <row r="71" spans="1:2" x14ac:dyDescent="0.3">
      <c r="A71" s="2" t="s">
        <v>106</v>
      </c>
      <c r="B71">
        <v>1002.24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1002</v>
      </c>
    </row>
    <row r="79" spans="1:2" x14ac:dyDescent="0.3">
      <c r="A79" s="2">
        <v>5</v>
      </c>
      <c r="B79">
        <v>1002.3</v>
      </c>
    </row>
    <row r="80" spans="1:2" x14ac:dyDescent="0.3">
      <c r="A80" s="2">
        <v>10</v>
      </c>
      <c r="B80">
        <v>1002.6</v>
      </c>
    </row>
    <row r="81" spans="1:2" x14ac:dyDescent="0.3">
      <c r="A81" s="2">
        <v>15</v>
      </c>
      <c r="B81">
        <v>1001.7</v>
      </c>
    </row>
    <row r="82" spans="1:2" x14ac:dyDescent="0.3">
      <c r="A82" s="2">
        <v>20</v>
      </c>
      <c r="B82">
        <v>1002.6</v>
      </c>
    </row>
    <row r="83" spans="1:2" x14ac:dyDescent="0.3">
      <c r="A83" s="2" t="s">
        <v>106</v>
      </c>
      <c r="B83">
        <v>1002.24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C7428-5F52-4781-A087-AC42BC47C464}">
  <dimension ref="A1:I83"/>
  <sheetViews>
    <sheetView workbookViewId="0">
      <selection activeCell="A2" sqref="A2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507</v>
      </c>
      <c r="B2">
        <v>1000000</v>
      </c>
      <c r="C2">
        <v>1</v>
      </c>
      <c r="D2">
        <v>4816</v>
      </c>
      <c r="E2">
        <v>4816</v>
      </c>
      <c r="F2">
        <v>4833</v>
      </c>
      <c r="G2" t="s">
        <v>508</v>
      </c>
      <c r="H2" t="s">
        <v>509</v>
      </c>
      <c r="I2">
        <f>IF(ISNUMBER(G2), G2, SUBSTITUTE(G2, ".", ",")*1)</f>
        <v>227.72828865051201</v>
      </c>
    </row>
    <row r="3" spans="1:9" x14ac:dyDescent="0.3">
      <c r="A3" t="s">
        <v>507</v>
      </c>
      <c r="B3">
        <v>1000000</v>
      </c>
      <c r="C3">
        <v>10</v>
      </c>
      <c r="D3">
        <v>4816</v>
      </c>
      <c r="E3">
        <v>4815</v>
      </c>
      <c r="F3">
        <v>4824</v>
      </c>
      <c r="G3" t="s">
        <v>510</v>
      </c>
      <c r="H3" t="s">
        <v>511</v>
      </c>
      <c r="I3">
        <f t="shared" ref="I3:I33" si="0">IF(ISNUMBER(G3), G3, SUBSTITUTE(G3, ".", ",")*1)</f>
        <v>341.485497951507</v>
      </c>
    </row>
    <row r="4" spans="1:9" x14ac:dyDescent="0.3">
      <c r="A4" t="s">
        <v>507</v>
      </c>
      <c r="B4">
        <v>1000000</v>
      </c>
      <c r="C4">
        <v>15</v>
      </c>
      <c r="D4">
        <v>4816</v>
      </c>
      <c r="E4">
        <v>4816</v>
      </c>
      <c r="F4">
        <v>4833</v>
      </c>
      <c r="G4" t="s">
        <v>512</v>
      </c>
      <c r="H4" t="s">
        <v>513</v>
      </c>
      <c r="I4">
        <f t="shared" si="0"/>
        <v>263.70180606842001</v>
      </c>
    </row>
    <row r="5" spans="1:9" x14ac:dyDescent="0.3">
      <c r="A5" t="s">
        <v>507</v>
      </c>
      <c r="B5">
        <v>1000000</v>
      </c>
      <c r="C5">
        <v>20</v>
      </c>
      <c r="D5">
        <v>4816</v>
      </c>
      <c r="E5">
        <v>4816</v>
      </c>
      <c r="F5">
        <v>4830</v>
      </c>
      <c r="G5" t="s">
        <v>514</v>
      </c>
      <c r="H5" t="s">
        <v>515</v>
      </c>
      <c r="I5">
        <f t="shared" si="0"/>
        <v>294.64639520645102</v>
      </c>
    </row>
    <row r="6" spans="1:9" x14ac:dyDescent="0.3">
      <c r="A6" t="s">
        <v>507</v>
      </c>
      <c r="B6">
        <v>1000000</v>
      </c>
      <c r="C6">
        <v>5</v>
      </c>
      <c r="D6">
        <v>4816</v>
      </c>
      <c r="E6">
        <v>4816</v>
      </c>
      <c r="F6">
        <v>4827</v>
      </c>
      <c r="G6" t="s">
        <v>516</v>
      </c>
      <c r="H6" t="s">
        <v>517</v>
      </c>
      <c r="I6">
        <f t="shared" si="0"/>
        <v>244.33393883705099</v>
      </c>
    </row>
    <row r="7" spans="1:9" x14ac:dyDescent="0.3">
      <c r="A7" t="s">
        <v>507</v>
      </c>
      <c r="B7">
        <v>100000</v>
      </c>
      <c r="C7">
        <v>1</v>
      </c>
      <c r="D7">
        <v>4816</v>
      </c>
      <c r="E7">
        <v>4816</v>
      </c>
      <c r="F7">
        <v>4830</v>
      </c>
      <c r="G7" t="s">
        <v>518</v>
      </c>
      <c r="H7" t="s">
        <v>519</v>
      </c>
      <c r="I7">
        <f t="shared" si="0"/>
        <v>20.3865759372711</v>
      </c>
    </row>
    <row r="8" spans="1:9" x14ac:dyDescent="0.3">
      <c r="A8" t="s">
        <v>507</v>
      </c>
      <c r="B8">
        <v>100000</v>
      </c>
      <c r="C8">
        <v>10</v>
      </c>
      <c r="D8">
        <v>4816</v>
      </c>
      <c r="E8">
        <v>4816</v>
      </c>
      <c r="F8">
        <v>4833</v>
      </c>
      <c r="G8" t="s">
        <v>520</v>
      </c>
      <c r="H8" t="s">
        <v>521</v>
      </c>
      <c r="I8">
        <f t="shared" si="0"/>
        <v>25.403378725051802</v>
      </c>
    </row>
    <row r="9" spans="1:9" x14ac:dyDescent="0.3">
      <c r="A9" t="s">
        <v>507</v>
      </c>
      <c r="B9">
        <v>100000</v>
      </c>
      <c r="C9">
        <v>15</v>
      </c>
      <c r="D9">
        <v>4816</v>
      </c>
      <c r="E9">
        <v>4816</v>
      </c>
      <c r="F9">
        <v>4836</v>
      </c>
      <c r="G9" t="s">
        <v>522</v>
      </c>
      <c r="H9" t="s">
        <v>523</v>
      </c>
      <c r="I9">
        <f t="shared" si="0"/>
        <v>25.6683974266052</v>
      </c>
    </row>
    <row r="10" spans="1:9" x14ac:dyDescent="0.3">
      <c r="A10" t="s">
        <v>507</v>
      </c>
      <c r="B10">
        <v>100000</v>
      </c>
      <c r="C10">
        <v>20</v>
      </c>
      <c r="D10">
        <v>4816</v>
      </c>
      <c r="E10">
        <v>4816</v>
      </c>
      <c r="F10">
        <v>4827</v>
      </c>
      <c r="G10" t="s">
        <v>524</v>
      </c>
      <c r="H10" t="s">
        <v>525</v>
      </c>
      <c r="I10">
        <f t="shared" si="0"/>
        <v>27.808832645416199</v>
      </c>
    </row>
    <row r="11" spans="1:9" x14ac:dyDescent="0.3">
      <c r="A11" t="s">
        <v>507</v>
      </c>
      <c r="B11">
        <v>100000</v>
      </c>
      <c r="C11">
        <v>5</v>
      </c>
      <c r="D11">
        <v>4816</v>
      </c>
      <c r="E11">
        <v>4815</v>
      </c>
      <c r="F11">
        <v>4830</v>
      </c>
      <c r="G11" t="s">
        <v>526</v>
      </c>
      <c r="H11" t="s">
        <v>527</v>
      </c>
      <c r="I11">
        <f t="shared" si="0"/>
        <v>24.417730093002302</v>
      </c>
    </row>
    <row r="12" spans="1:9" x14ac:dyDescent="0.3">
      <c r="A12" t="s">
        <v>507</v>
      </c>
      <c r="B12">
        <v>10000</v>
      </c>
      <c r="C12">
        <v>1</v>
      </c>
      <c r="D12">
        <v>4816</v>
      </c>
      <c r="E12">
        <v>4816</v>
      </c>
      <c r="F12">
        <v>4830</v>
      </c>
      <c r="G12" t="s">
        <v>528</v>
      </c>
      <c r="H12" t="s">
        <v>529</v>
      </c>
      <c r="I12">
        <f t="shared" si="0"/>
        <v>2.61156129837036</v>
      </c>
    </row>
    <row r="13" spans="1:9" x14ac:dyDescent="0.3">
      <c r="A13" t="s">
        <v>507</v>
      </c>
      <c r="B13">
        <v>10000</v>
      </c>
      <c r="C13">
        <v>10</v>
      </c>
      <c r="D13">
        <v>4816</v>
      </c>
      <c r="E13">
        <v>4816</v>
      </c>
      <c r="F13">
        <v>4827</v>
      </c>
      <c r="G13" t="s">
        <v>530</v>
      </c>
      <c r="H13" t="s">
        <v>531</v>
      </c>
      <c r="I13">
        <f t="shared" si="0"/>
        <v>2.9723904132843</v>
      </c>
    </row>
    <row r="14" spans="1:9" x14ac:dyDescent="0.3">
      <c r="A14" t="s">
        <v>507</v>
      </c>
      <c r="B14">
        <v>10000</v>
      </c>
      <c r="C14">
        <v>15</v>
      </c>
      <c r="D14">
        <v>4816</v>
      </c>
      <c r="E14">
        <v>4816</v>
      </c>
      <c r="F14">
        <v>4824</v>
      </c>
      <c r="G14" t="s">
        <v>532</v>
      </c>
      <c r="H14" t="s">
        <v>533</v>
      </c>
      <c r="I14">
        <f t="shared" si="0"/>
        <v>2.5260639190673801</v>
      </c>
    </row>
    <row r="15" spans="1:9" x14ac:dyDescent="0.3">
      <c r="A15" t="s">
        <v>507</v>
      </c>
      <c r="B15">
        <v>10000</v>
      </c>
      <c r="C15">
        <v>20</v>
      </c>
      <c r="D15">
        <v>4816</v>
      </c>
      <c r="E15">
        <v>4816</v>
      </c>
      <c r="F15">
        <v>4833</v>
      </c>
      <c r="G15" t="s">
        <v>534</v>
      </c>
      <c r="H15" t="s">
        <v>535</v>
      </c>
      <c r="I15">
        <f t="shared" si="0"/>
        <v>2.4684243202209402</v>
      </c>
    </row>
    <row r="16" spans="1:9" x14ac:dyDescent="0.3">
      <c r="A16" t="s">
        <v>507</v>
      </c>
      <c r="B16">
        <v>10000</v>
      </c>
      <c r="C16">
        <v>5</v>
      </c>
      <c r="D16">
        <v>4816</v>
      </c>
      <c r="E16">
        <v>4816</v>
      </c>
      <c r="F16">
        <v>4836</v>
      </c>
      <c r="G16" t="s">
        <v>536</v>
      </c>
      <c r="H16" t="s">
        <v>537</v>
      </c>
      <c r="I16">
        <f t="shared" si="0"/>
        <v>1.8215749263763401</v>
      </c>
    </row>
    <row r="17" spans="1:9" x14ac:dyDescent="0.3">
      <c r="A17" t="s">
        <v>507</v>
      </c>
      <c r="B17">
        <v>1000</v>
      </c>
      <c r="C17">
        <v>1</v>
      </c>
      <c r="D17">
        <v>4816</v>
      </c>
      <c r="E17">
        <v>4816</v>
      </c>
      <c r="F17">
        <v>4833</v>
      </c>
      <c r="G17" t="s">
        <v>538</v>
      </c>
      <c r="H17" t="s">
        <v>539</v>
      </c>
      <c r="I17">
        <f t="shared" si="0"/>
        <v>0.18861413002014099</v>
      </c>
    </row>
    <row r="18" spans="1:9" x14ac:dyDescent="0.3">
      <c r="A18" t="s">
        <v>507</v>
      </c>
      <c r="B18">
        <v>1000</v>
      </c>
      <c r="C18">
        <v>10</v>
      </c>
      <c r="D18">
        <v>4816</v>
      </c>
      <c r="E18">
        <v>4815</v>
      </c>
      <c r="F18">
        <v>4836</v>
      </c>
      <c r="G18" t="s">
        <v>540</v>
      </c>
      <c r="H18" t="s">
        <v>541</v>
      </c>
      <c r="I18">
        <f t="shared" si="0"/>
        <v>0.34890222549438399</v>
      </c>
    </row>
    <row r="19" spans="1:9" x14ac:dyDescent="0.3">
      <c r="A19" t="s">
        <v>507</v>
      </c>
      <c r="B19">
        <v>1000</v>
      </c>
      <c r="C19">
        <v>15</v>
      </c>
      <c r="D19">
        <v>4816</v>
      </c>
      <c r="E19">
        <v>4816</v>
      </c>
      <c r="F19">
        <v>4833</v>
      </c>
      <c r="G19" t="s">
        <v>542</v>
      </c>
      <c r="H19" t="s">
        <v>543</v>
      </c>
      <c r="I19">
        <f t="shared" si="0"/>
        <v>0.21298742294311501</v>
      </c>
    </row>
    <row r="20" spans="1:9" x14ac:dyDescent="0.3">
      <c r="A20" t="s">
        <v>507</v>
      </c>
      <c r="B20">
        <v>1000</v>
      </c>
      <c r="C20">
        <v>20</v>
      </c>
      <c r="D20">
        <v>4816</v>
      </c>
      <c r="E20">
        <v>4816</v>
      </c>
      <c r="F20">
        <v>4833</v>
      </c>
      <c r="G20" t="s">
        <v>544</v>
      </c>
      <c r="H20" t="s">
        <v>545</v>
      </c>
      <c r="I20">
        <f t="shared" si="0"/>
        <v>0.35015749931335399</v>
      </c>
    </row>
    <row r="21" spans="1:9" x14ac:dyDescent="0.3">
      <c r="A21" t="s">
        <v>507</v>
      </c>
      <c r="B21">
        <v>1000</v>
      </c>
      <c r="C21">
        <v>5</v>
      </c>
      <c r="D21">
        <v>4816</v>
      </c>
      <c r="E21">
        <v>4816</v>
      </c>
      <c r="F21">
        <v>4839</v>
      </c>
      <c r="G21" t="s">
        <v>546</v>
      </c>
      <c r="H21" t="s">
        <v>547</v>
      </c>
      <c r="I21">
        <f t="shared" si="0"/>
        <v>0.24118018150329501</v>
      </c>
    </row>
    <row r="22" spans="1:9" x14ac:dyDescent="0.3">
      <c r="A22" t="s">
        <v>507</v>
      </c>
      <c r="B22">
        <v>100</v>
      </c>
      <c r="C22">
        <v>1</v>
      </c>
      <c r="D22">
        <v>4816</v>
      </c>
      <c r="E22">
        <v>4816</v>
      </c>
      <c r="F22">
        <v>4833</v>
      </c>
      <c r="G22" t="s">
        <v>548</v>
      </c>
      <c r="H22" t="s">
        <v>549</v>
      </c>
      <c r="I22">
        <f t="shared" si="0"/>
        <v>1.7003774642944301E-2</v>
      </c>
    </row>
    <row r="23" spans="1:9" x14ac:dyDescent="0.3">
      <c r="A23" t="s">
        <v>507</v>
      </c>
      <c r="B23">
        <v>100</v>
      </c>
      <c r="C23">
        <v>10</v>
      </c>
      <c r="D23">
        <v>4816</v>
      </c>
      <c r="E23">
        <v>4816</v>
      </c>
      <c r="F23">
        <v>4836</v>
      </c>
      <c r="G23" t="s">
        <v>550</v>
      </c>
      <c r="H23" t="s">
        <v>551</v>
      </c>
      <c r="I23">
        <f t="shared" si="0"/>
        <v>2.0004510879516602E-2</v>
      </c>
    </row>
    <row r="24" spans="1:9" x14ac:dyDescent="0.3">
      <c r="A24" t="s">
        <v>507</v>
      </c>
      <c r="B24">
        <v>100</v>
      </c>
      <c r="C24">
        <v>15</v>
      </c>
      <c r="D24">
        <v>4816</v>
      </c>
      <c r="E24">
        <v>4816</v>
      </c>
      <c r="F24">
        <v>4836</v>
      </c>
      <c r="G24" t="s">
        <v>552</v>
      </c>
      <c r="H24" t="s">
        <v>553</v>
      </c>
      <c r="I24">
        <f t="shared" si="0"/>
        <v>2.30307579040527E-2</v>
      </c>
    </row>
    <row r="25" spans="1:9" x14ac:dyDescent="0.3">
      <c r="A25" t="s">
        <v>507</v>
      </c>
      <c r="B25">
        <v>100</v>
      </c>
      <c r="C25">
        <v>20</v>
      </c>
      <c r="D25">
        <v>4816</v>
      </c>
      <c r="E25">
        <v>4815</v>
      </c>
      <c r="F25">
        <v>4833</v>
      </c>
      <c r="G25" t="s">
        <v>554</v>
      </c>
      <c r="H25" t="s">
        <v>555</v>
      </c>
      <c r="I25">
        <f t="shared" si="0"/>
        <v>2.8173208236694301E-2</v>
      </c>
    </row>
    <row r="26" spans="1:9" x14ac:dyDescent="0.3">
      <c r="A26" t="s">
        <v>507</v>
      </c>
      <c r="B26">
        <v>100</v>
      </c>
      <c r="C26">
        <v>5</v>
      </c>
      <c r="D26">
        <v>4816</v>
      </c>
      <c r="E26">
        <v>4816</v>
      </c>
      <c r="F26">
        <v>4839</v>
      </c>
      <c r="G26" t="s">
        <v>556</v>
      </c>
      <c r="H26" t="s">
        <v>557</v>
      </c>
      <c r="I26">
        <f t="shared" si="0"/>
        <v>1.9033670425415001E-2</v>
      </c>
    </row>
    <row r="27" spans="1:9" x14ac:dyDescent="0.3">
      <c r="A27" t="s">
        <v>507</v>
      </c>
      <c r="B27">
        <v>500000</v>
      </c>
      <c r="C27">
        <v>1</v>
      </c>
      <c r="D27">
        <v>4816</v>
      </c>
      <c r="E27">
        <v>4815</v>
      </c>
      <c r="F27">
        <v>4830</v>
      </c>
      <c r="G27" t="s">
        <v>558</v>
      </c>
      <c r="H27" t="s">
        <v>559</v>
      </c>
      <c r="I27">
        <f t="shared" si="0"/>
        <v>101.434401512146</v>
      </c>
    </row>
    <row r="28" spans="1:9" x14ac:dyDescent="0.3">
      <c r="A28" t="s">
        <v>507</v>
      </c>
      <c r="B28">
        <v>500000</v>
      </c>
      <c r="C28">
        <v>10</v>
      </c>
      <c r="D28">
        <v>4816</v>
      </c>
      <c r="E28">
        <v>4816</v>
      </c>
      <c r="F28">
        <v>4830</v>
      </c>
      <c r="G28" t="s">
        <v>560</v>
      </c>
      <c r="H28" t="s">
        <v>561</v>
      </c>
      <c r="I28">
        <f t="shared" si="0"/>
        <v>115.948993444442</v>
      </c>
    </row>
    <row r="29" spans="1:9" x14ac:dyDescent="0.3">
      <c r="A29" t="s">
        <v>507</v>
      </c>
      <c r="B29">
        <v>500000</v>
      </c>
      <c r="C29">
        <v>15</v>
      </c>
      <c r="D29">
        <v>4816</v>
      </c>
      <c r="E29">
        <v>4816</v>
      </c>
      <c r="F29">
        <v>4827</v>
      </c>
      <c r="G29" t="s">
        <v>562</v>
      </c>
      <c r="H29" t="s">
        <v>563</v>
      </c>
      <c r="I29">
        <f t="shared" si="0"/>
        <v>128.113260746002</v>
      </c>
    </row>
    <row r="30" spans="1:9" x14ac:dyDescent="0.3">
      <c r="A30" t="s">
        <v>507</v>
      </c>
      <c r="B30">
        <v>500000</v>
      </c>
      <c r="C30">
        <v>20</v>
      </c>
      <c r="D30">
        <v>4816</v>
      </c>
      <c r="E30">
        <v>4816</v>
      </c>
      <c r="F30">
        <v>4836</v>
      </c>
      <c r="G30" t="s">
        <v>564</v>
      </c>
      <c r="H30" t="s">
        <v>565</v>
      </c>
      <c r="I30">
        <f t="shared" si="0"/>
        <v>124.586233854293</v>
      </c>
    </row>
    <row r="31" spans="1:9" x14ac:dyDescent="0.3">
      <c r="A31" t="s">
        <v>507</v>
      </c>
      <c r="B31">
        <v>500000</v>
      </c>
      <c r="C31">
        <v>5</v>
      </c>
      <c r="D31">
        <v>4816</v>
      </c>
      <c r="E31">
        <v>4816</v>
      </c>
      <c r="F31">
        <v>4830</v>
      </c>
      <c r="G31" t="s">
        <v>566</v>
      </c>
      <c r="H31" t="s">
        <v>567</v>
      </c>
      <c r="I31">
        <f t="shared" si="0"/>
        <v>137.056037664413</v>
      </c>
    </row>
    <row r="32" spans="1:9" x14ac:dyDescent="0.3">
      <c r="A32" t="s">
        <v>507</v>
      </c>
      <c r="B32">
        <v>50000</v>
      </c>
      <c r="C32">
        <v>1</v>
      </c>
      <c r="D32">
        <v>4816</v>
      </c>
      <c r="E32">
        <v>4816</v>
      </c>
      <c r="F32">
        <v>4827</v>
      </c>
      <c r="G32" t="s">
        <v>568</v>
      </c>
      <c r="H32" t="s">
        <v>569</v>
      </c>
      <c r="I32">
        <f t="shared" si="0"/>
        <v>11.5305199623107</v>
      </c>
    </row>
    <row r="33" spans="1:9" x14ac:dyDescent="0.3">
      <c r="A33" t="s">
        <v>507</v>
      </c>
      <c r="B33">
        <v>50000</v>
      </c>
      <c r="C33">
        <v>10</v>
      </c>
      <c r="D33">
        <v>4816</v>
      </c>
      <c r="E33">
        <v>4816</v>
      </c>
      <c r="F33">
        <v>4833</v>
      </c>
      <c r="G33" t="s">
        <v>570</v>
      </c>
      <c r="H33" t="s">
        <v>571</v>
      </c>
      <c r="I33">
        <f t="shared" si="0"/>
        <v>12.1456987857818</v>
      </c>
    </row>
    <row r="34" spans="1:9" x14ac:dyDescent="0.3">
      <c r="A34" t="s">
        <v>507</v>
      </c>
      <c r="B34">
        <v>50000</v>
      </c>
      <c r="C34">
        <v>15</v>
      </c>
      <c r="D34">
        <v>4816</v>
      </c>
      <c r="E34">
        <v>4816</v>
      </c>
      <c r="F34">
        <v>4824</v>
      </c>
      <c r="G34" t="s">
        <v>572</v>
      </c>
      <c r="H34" t="s">
        <v>573</v>
      </c>
      <c r="I34">
        <f t="shared" ref="I34:I51" si="1">IF(ISNUMBER(G34), G34, SUBSTITUTE(G34, ".", ",")*1)</f>
        <v>17.230950832366901</v>
      </c>
    </row>
    <row r="35" spans="1:9" x14ac:dyDescent="0.3">
      <c r="A35" t="s">
        <v>507</v>
      </c>
      <c r="B35">
        <v>50000</v>
      </c>
      <c r="C35">
        <v>20</v>
      </c>
      <c r="D35">
        <v>4816</v>
      </c>
      <c r="E35">
        <v>4816</v>
      </c>
      <c r="F35">
        <v>4827</v>
      </c>
      <c r="G35" t="s">
        <v>574</v>
      </c>
      <c r="H35" t="s">
        <v>575</v>
      </c>
      <c r="I35">
        <f t="shared" si="1"/>
        <v>15.8446266651153</v>
      </c>
    </row>
    <row r="36" spans="1:9" x14ac:dyDescent="0.3">
      <c r="A36" t="s">
        <v>507</v>
      </c>
      <c r="B36">
        <v>50000</v>
      </c>
      <c r="C36">
        <v>5</v>
      </c>
      <c r="D36">
        <v>4816</v>
      </c>
      <c r="E36">
        <v>4816</v>
      </c>
      <c r="F36">
        <v>4830</v>
      </c>
      <c r="G36" t="s">
        <v>576</v>
      </c>
      <c r="H36" t="s">
        <v>577</v>
      </c>
      <c r="I36">
        <f t="shared" si="1"/>
        <v>17.2636234760284</v>
      </c>
    </row>
    <row r="37" spans="1:9" x14ac:dyDescent="0.3">
      <c r="A37" t="s">
        <v>507</v>
      </c>
      <c r="B37">
        <v>5000</v>
      </c>
      <c r="C37">
        <v>1</v>
      </c>
      <c r="D37">
        <v>4816</v>
      </c>
      <c r="E37">
        <v>4816</v>
      </c>
      <c r="F37">
        <v>4833</v>
      </c>
      <c r="G37" t="s">
        <v>578</v>
      </c>
      <c r="H37" t="s">
        <v>579</v>
      </c>
      <c r="I37">
        <f t="shared" si="1"/>
        <v>1.0108113288879299</v>
      </c>
    </row>
    <row r="38" spans="1:9" x14ac:dyDescent="0.3">
      <c r="A38" t="s">
        <v>507</v>
      </c>
      <c r="B38">
        <v>5000</v>
      </c>
      <c r="C38">
        <v>10</v>
      </c>
      <c r="D38">
        <v>4816</v>
      </c>
      <c r="E38">
        <v>4816</v>
      </c>
      <c r="F38">
        <v>4836</v>
      </c>
      <c r="G38" t="s">
        <v>580</v>
      </c>
      <c r="H38" t="s">
        <v>581</v>
      </c>
      <c r="I38">
        <f t="shared" si="1"/>
        <v>0.98829770088195801</v>
      </c>
    </row>
    <row r="39" spans="1:9" x14ac:dyDescent="0.3">
      <c r="A39" t="s">
        <v>507</v>
      </c>
      <c r="B39">
        <v>5000</v>
      </c>
      <c r="C39">
        <v>15</v>
      </c>
      <c r="D39">
        <v>4816</v>
      </c>
      <c r="E39">
        <v>4816</v>
      </c>
      <c r="F39">
        <v>4836</v>
      </c>
      <c r="G39" t="s">
        <v>582</v>
      </c>
      <c r="H39" t="s">
        <v>583</v>
      </c>
      <c r="I39">
        <f t="shared" si="1"/>
        <v>1.2748703956603999</v>
      </c>
    </row>
    <row r="40" spans="1:9" x14ac:dyDescent="0.3">
      <c r="A40" t="s">
        <v>507</v>
      </c>
      <c r="B40">
        <v>5000</v>
      </c>
      <c r="C40">
        <v>20</v>
      </c>
      <c r="D40">
        <v>4816</v>
      </c>
      <c r="E40">
        <v>4816</v>
      </c>
      <c r="F40">
        <v>4836</v>
      </c>
      <c r="G40" t="s">
        <v>584</v>
      </c>
      <c r="H40" t="s">
        <v>585</v>
      </c>
      <c r="I40">
        <f t="shared" si="1"/>
        <v>1.43663954734802</v>
      </c>
    </row>
    <row r="41" spans="1:9" x14ac:dyDescent="0.3">
      <c r="A41" t="s">
        <v>507</v>
      </c>
      <c r="B41">
        <v>5000</v>
      </c>
      <c r="C41">
        <v>5</v>
      </c>
      <c r="D41">
        <v>4816</v>
      </c>
      <c r="E41">
        <v>4816</v>
      </c>
      <c r="F41">
        <v>4833</v>
      </c>
      <c r="G41" t="s">
        <v>586</v>
      </c>
      <c r="H41" t="s">
        <v>587</v>
      </c>
      <c r="I41">
        <f t="shared" si="1"/>
        <v>1.1502051353454501</v>
      </c>
    </row>
    <row r="42" spans="1:9" x14ac:dyDescent="0.3">
      <c r="A42" t="s">
        <v>507</v>
      </c>
      <c r="B42">
        <v>500</v>
      </c>
      <c r="C42">
        <v>1</v>
      </c>
      <c r="D42">
        <v>4816</v>
      </c>
      <c r="E42">
        <v>4816</v>
      </c>
      <c r="F42">
        <v>4836</v>
      </c>
      <c r="G42" t="s">
        <v>588</v>
      </c>
      <c r="H42" t="s">
        <v>589</v>
      </c>
      <c r="I42">
        <f t="shared" si="1"/>
        <v>0.110627174377441</v>
      </c>
    </row>
    <row r="43" spans="1:9" x14ac:dyDescent="0.3">
      <c r="A43" t="s">
        <v>507</v>
      </c>
      <c r="B43">
        <v>500</v>
      </c>
      <c r="C43">
        <v>10</v>
      </c>
      <c r="D43">
        <v>4816</v>
      </c>
      <c r="E43">
        <v>4816</v>
      </c>
      <c r="F43">
        <v>4830</v>
      </c>
      <c r="G43" t="s">
        <v>590</v>
      </c>
      <c r="H43" t="s">
        <v>591</v>
      </c>
      <c r="I43">
        <f t="shared" si="1"/>
        <v>0.223181247711181</v>
      </c>
    </row>
    <row r="44" spans="1:9" x14ac:dyDescent="0.3">
      <c r="A44" t="s">
        <v>507</v>
      </c>
      <c r="B44">
        <v>500</v>
      </c>
      <c r="C44">
        <v>15</v>
      </c>
      <c r="D44">
        <v>4816</v>
      </c>
      <c r="E44">
        <v>4816</v>
      </c>
      <c r="F44">
        <v>4836</v>
      </c>
      <c r="G44" t="s">
        <v>592</v>
      </c>
      <c r="H44" t="s">
        <v>593</v>
      </c>
      <c r="I44">
        <f t="shared" si="1"/>
        <v>0.149232387542724</v>
      </c>
    </row>
    <row r="45" spans="1:9" x14ac:dyDescent="0.3">
      <c r="A45" t="s">
        <v>507</v>
      </c>
      <c r="B45">
        <v>500</v>
      </c>
      <c r="C45">
        <v>20</v>
      </c>
      <c r="D45">
        <v>4816</v>
      </c>
      <c r="E45">
        <v>4816</v>
      </c>
      <c r="F45">
        <v>4833</v>
      </c>
      <c r="G45" t="s">
        <v>594</v>
      </c>
      <c r="H45" t="s">
        <v>595</v>
      </c>
      <c r="I45">
        <f t="shared" si="1"/>
        <v>0.119863748550415</v>
      </c>
    </row>
    <row r="46" spans="1:9" x14ac:dyDescent="0.3">
      <c r="A46" t="s">
        <v>507</v>
      </c>
      <c r="B46">
        <v>500</v>
      </c>
      <c r="C46">
        <v>5</v>
      </c>
      <c r="D46">
        <v>4816</v>
      </c>
      <c r="E46">
        <v>4815</v>
      </c>
      <c r="F46">
        <v>4836</v>
      </c>
      <c r="G46" t="s">
        <v>596</v>
      </c>
      <c r="H46" t="s">
        <v>597</v>
      </c>
      <c r="I46">
        <f t="shared" si="1"/>
        <v>0.10173988342285099</v>
      </c>
    </row>
    <row r="47" spans="1:9" x14ac:dyDescent="0.3">
      <c r="A47" t="s">
        <v>507</v>
      </c>
      <c r="B47">
        <v>50</v>
      </c>
      <c r="C47">
        <v>1</v>
      </c>
      <c r="D47">
        <v>4816</v>
      </c>
      <c r="E47">
        <v>4816</v>
      </c>
      <c r="F47">
        <v>4836</v>
      </c>
      <c r="G47" t="s">
        <v>598</v>
      </c>
      <c r="H47" t="s">
        <v>599</v>
      </c>
      <c r="I47">
        <f t="shared" si="1"/>
        <v>1.10001564025878E-2</v>
      </c>
    </row>
    <row r="48" spans="1:9" x14ac:dyDescent="0.3">
      <c r="A48" t="s">
        <v>507</v>
      </c>
      <c r="B48">
        <v>50</v>
      </c>
      <c r="C48">
        <v>10</v>
      </c>
      <c r="D48">
        <v>4816</v>
      </c>
      <c r="E48">
        <v>4816</v>
      </c>
      <c r="F48">
        <v>4833</v>
      </c>
      <c r="G48" t="s">
        <v>600</v>
      </c>
      <c r="H48" t="s">
        <v>601</v>
      </c>
      <c r="I48">
        <f t="shared" si="1"/>
        <v>1.6997098922729399E-2</v>
      </c>
    </row>
    <row r="49" spans="1:9" x14ac:dyDescent="0.3">
      <c r="A49" t="s">
        <v>507</v>
      </c>
      <c r="B49">
        <v>50</v>
      </c>
      <c r="C49">
        <v>15</v>
      </c>
      <c r="D49">
        <v>4816</v>
      </c>
      <c r="E49">
        <v>4816</v>
      </c>
      <c r="F49">
        <v>4833</v>
      </c>
      <c r="G49" t="s">
        <v>598</v>
      </c>
      <c r="H49" t="s">
        <v>602</v>
      </c>
      <c r="I49">
        <f t="shared" si="1"/>
        <v>1.10001564025878E-2</v>
      </c>
    </row>
    <row r="50" spans="1:9" x14ac:dyDescent="0.3">
      <c r="A50" t="s">
        <v>507</v>
      </c>
      <c r="B50">
        <v>50</v>
      </c>
      <c r="C50">
        <v>20</v>
      </c>
      <c r="D50">
        <v>4816</v>
      </c>
      <c r="E50">
        <v>4816</v>
      </c>
      <c r="F50">
        <v>4833</v>
      </c>
      <c r="G50" t="s">
        <v>603</v>
      </c>
      <c r="H50" t="s">
        <v>604</v>
      </c>
      <c r="I50">
        <f t="shared" si="1"/>
        <v>1.0094165802001899E-2</v>
      </c>
    </row>
    <row r="51" spans="1:9" x14ac:dyDescent="0.3">
      <c r="A51" t="s">
        <v>507</v>
      </c>
      <c r="B51">
        <v>50</v>
      </c>
      <c r="C51">
        <v>5</v>
      </c>
      <c r="D51">
        <v>4816</v>
      </c>
      <c r="E51">
        <v>4816</v>
      </c>
      <c r="F51">
        <v>4830</v>
      </c>
      <c r="G51" t="s">
        <v>605</v>
      </c>
      <c r="H51" t="s">
        <v>606</v>
      </c>
      <c r="I51">
        <f t="shared" si="1"/>
        <v>9.1185569763183004E-3</v>
      </c>
    </row>
    <row r="57" spans="1:9" x14ac:dyDescent="0.3">
      <c r="A57" t="s">
        <v>103</v>
      </c>
      <c r="B57">
        <f>AVERAGE(results_7_fusionné[tps_nb])</f>
        <v>43.944159388542083</v>
      </c>
    </row>
    <row r="58" spans="1:9" x14ac:dyDescent="0.3">
      <c r="A58" t="s">
        <v>104</v>
      </c>
      <c r="B58">
        <f>MAX(results_7_fusionné[Total profit])</f>
        <v>4839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4833</v>
      </c>
    </row>
    <row r="62" spans="1:9" x14ac:dyDescent="0.3">
      <c r="A62" s="2">
        <v>100</v>
      </c>
      <c r="B62">
        <v>4835.3999999999996</v>
      </c>
    </row>
    <row r="63" spans="1:9" x14ac:dyDescent="0.3">
      <c r="A63" s="2">
        <v>500</v>
      </c>
      <c r="B63">
        <v>4834.2</v>
      </c>
    </row>
    <row r="64" spans="1:9" x14ac:dyDescent="0.3">
      <c r="A64" s="2">
        <v>1000</v>
      </c>
      <c r="B64">
        <v>4834.8</v>
      </c>
    </row>
    <row r="65" spans="1:2" x14ac:dyDescent="0.3">
      <c r="A65" s="2">
        <v>5000</v>
      </c>
      <c r="B65">
        <v>4834.8</v>
      </c>
    </row>
    <row r="66" spans="1:2" x14ac:dyDescent="0.3">
      <c r="A66" s="2">
        <v>10000</v>
      </c>
      <c r="B66">
        <v>4830</v>
      </c>
    </row>
    <row r="67" spans="1:2" x14ac:dyDescent="0.3">
      <c r="A67" s="2">
        <v>50000</v>
      </c>
      <c r="B67">
        <v>4828.2</v>
      </c>
    </row>
    <row r="68" spans="1:2" x14ac:dyDescent="0.3">
      <c r="A68" s="2">
        <v>100000</v>
      </c>
      <c r="B68">
        <v>4831.2</v>
      </c>
    </row>
    <row r="69" spans="1:2" x14ac:dyDescent="0.3">
      <c r="A69" s="2">
        <v>500000</v>
      </c>
      <c r="B69">
        <v>4830.6000000000004</v>
      </c>
    </row>
    <row r="70" spans="1:2" x14ac:dyDescent="0.3">
      <c r="A70" s="2">
        <v>1000000</v>
      </c>
      <c r="B70">
        <v>4829.3999999999996</v>
      </c>
    </row>
    <row r="71" spans="1:2" x14ac:dyDescent="0.3">
      <c r="A71" s="2" t="s">
        <v>106</v>
      </c>
      <c r="B71">
        <v>4832.16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4832.1000000000004</v>
      </c>
    </row>
    <row r="79" spans="1:2" x14ac:dyDescent="0.3">
      <c r="A79" s="2">
        <v>5</v>
      </c>
      <c r="B79">
        <v>4833</v>
      </c>
    </row>
    <row r="80" spans="1:2" x14ac:dyDescent="0.3">
      <c r="A80" s="2">
        <v>10</v>
      </c>
      <c r="B80">
        <v>4831.8</v>
      </c>
    </row>
    <row r="81" spans="1:2" x14ac:dyDescent="0.3">
      <c r="A81" s="2">
        <v>15</v>
      </c>
      <c r="B81">
        <v>4831.8</v>
      </c>
    </row>
    <row r="82" spans="1:2" x14ac:dyDescent="0.3">
      <c r="A82" s="2">
        <v>20</v>
      </c>
      <c r="B82">
        <v>4832.1000000000004</v>
      </c>
    </row>
    <row r="83" spans="1:2" x14ac:dyDescent="0.3">
      <c r="A83" s="2" t="s">
        <v>106</v>
      </c>
      <c r="B83">
        <v>4832.16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0A22E-582B-40C4-94E7-703DDB6DDBDA}">
  <dimension ref="A1:I83"/>
  <sheetViews>
    <sheetView workbookViewId="0">
      <selection activeCell="A2" sqref="A2:I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810</v>
      </c>
      <c r="B2">
        <v>1000000</v>
      </c>
      <c r="C2">
        <v>1</v>
      </c>
      <c r="D2">
        <v>49297</v>
      </c>
      <c r="E2">
        <v>49297</v>
      </c>
      <c r="F2">
        <v>49413</v>
      </c>
      <c r="G2" t="s">
        <v>811</v>
      </c>
      <c r="H2" t="s">
        <v>812</v>
      </c>
      <c r="I2">
        <f>IF(ISNUMBER(G2), G2, SUBSTITUTE(G2, ".", ",")*1)</f>
        <v>5689.2303965091696</v>
      </c>
    </row>
    <row r="3" spans="1:9" x14ac:dyDescent="0.3">
      <c r="A3" t="s">
        <v>810</v>
      </c>
      <c r="B3">
        <v>1000000</v>
      </c>
      <c r="C3">
        <v>10</v>
      </c>
      <c r="D3">
        <v>49297</v>
      </c>
      <c r="E3">
        <v>49297</v>
      </c>
      <c r="F3">
        <v>49410</v>
      </c>
      <c r="G3" t="s">
        <v>813</v>
      </c>
      <c r="H3" t="s">
        <v>814</v>
      </c>
      <c r="I3">
        <f t="shared" ref="I3:I33" si="0">IF(ISNUMBER(G3), G3, SUBSTITUTE(G3, ".", ",")*1)</f>
        <v>5666.7876684665598</v>
      </c>
    </row>
    <row r="4" spans="1:9" x14ac:dyDescent="0.3">
      <c r="A4" t="s">
        <v>810</v>
      </c>
      <c r="B4">
        <v>1000000</v>
      </c>
      <c r="C4">
        <v>15</v>
      </c>
      <c r="D4">
        <v>49297</v>
      </c>
      <c r="E4">
        <v>49297</v>
      </c>
      <c r="F4">
        <v>49389</v>
      </c>
      <c r="G4" t="s">
        <v>815</v>
      </c>
      <c r="H4" t="s">
        <v>816</v>
      </c>
      <c r="I4">
        <f t="shared" si="0"/>
        <v>5820.9836387634195</v>
      </c>
    </row>
    <row r="5" spans="1:9" x14ac:dyDescent="0.3">
      <c r="A5" t="s">
        <v>810</v>
      </c>
      <c r="B5">
        <v>1000000</v>
      </c>
      <c r="C5">
        <v>20</v>
      </c>
      <c r="D5">
        <v>49297</v>
      </c>
      <c r="E5">
        <v>49297</v>
      </c>
      <c r="F5">
        <v>49419</v>
      </c>
      <c r="G5" t="s">
        <v>817</v>
      </c>
      <c r="H5" t="s">
        <v>818</v>
      </c>
      <c r="I5">
        <f t="shared" si="0"/>
        <v>5248.3916640281604</v>
      </c>
    </row>
    <row r="6" spans="1:9" x14ac:dyDescent="0.3">
      <c r="A6" t="s">
        <v>810</v>
      </c>
      <c r="B6">
        <v>1000000</v>
      </c>
      <c r="C6">
        <v>5</v>
      </c>
      <c r="D6">
        <v>49297</v>
      </c>
      <c r="E6">
        <v>49297</v>
      </c>
      <c r="F6">
        <v>49386</v>
      </c>
      <c r="G6" t="s">
        <v>819</v>
      </c>
      <c r="H6" t="s">
        <v>820</v>
      </c>
      <c r="I6">
        <f t="shared" si="0"/>
        <v>5257.1038887500699</v>
      </c>
    </row>
    <row r="7" spans="1:9" x14ac:dyDescent="0.3">
      <c r="A7" t="s">
        <v>810</v>
      </c>
      <c r="B7">
        <v>100000</v>
      </c>
      <c r="C7">
        <v>1</v>
      </c>
      <c r="D7">
        <v>49297</v>
      </c>
      <c r="E7">
        <v>49297</v>
      </c>
      <c r="F7">
        <v>49419</v>
      </c>
      <c r="G7" t="s">
        <v>821</v>
      </c>
      <c r="H7" t="s">
        <v>822</v>
      </c>
      <c r="I7">
        <f t="shared" si="0"/>
        <v>609.64008116722096</v>
      </c>
    </row>
    <row r="8" spans="1:9" x14ac:dyDescent="0.3">
      <c r="A8" t="s">
        <v>810</v>
      </c>
      <c r="B8">
        <v>100000</v>
      </c>
      <c r="C8">
        <v>10</v>
      </c>
      <c r="D8">
        <v>49297</v>
      </c>
      <c r="E8">
        <v>49297</v>
      </c>
      <c r="F8">
        <v>49413</v>
      </c>
      <c r="G8" t="s">
        <v>823</v>
      </c>
      <c r="H8" t="s">
        <v>824</v>
      </c>
      <c r="I8">
        <f t="shared" si="0"/>
        <v>588.035508632659</v>
      </c>
    </row>
    <row r="9" spans="1:9" x14ac:dyDescent="0.3">
      <c r="A9" t="s">
        <v>810</v>
      </c>
      <c r="B9">
        <v>100000</v>
      </c>
      <c r="C9">
        <v>15</v>
      </c>
      <c r="D9">
        <v>49297</v>
      </c>
      <c r="E9">
        <v>49297</v>
      </c>
      <c r="F9">
        <v>49410</v>
      </c>
      <c r="G9" t="s">
        <v>825</v>
      </c>
      <c r="H9" t="s">
        <v>826</v>
      </c>
      <c r="I9">
        <f t="shared" si="0"/>
        <v>595.748551130294</v>
      </c>
    </row>
    <row r="10" spans="1:9" x14ac:dyDescent="0.3">
      <c r="A10" t="s">
        <v>810</v>
      </c>
      <c r="B10">
        <v>100000</v>
      </c>
      <c r="C10">
        <v>20</v>
      </c>
      <c r="D10">
        <v>49297</v>
      </c>
      <c r="E10">
        <v>49297</v>
      </c>
      <c r="F10">
        <v>49389</v>
      </c>
      <c r="G10" t="s">
        <v>827</v>
      </c>
      <c r="H10" t="s">
        <v>828</v>
      </c>
      <c r="I10">
        <f t="shared" si="0"/>
        <v>598.26185989379803</v>
      </c>
    </row>
    <row r="11" spans="1:9" x14ac:dyDescent="0.3">
      <c r="A11" t="s">
        <v>810</v>
      </c>
      <c r="B11">
        <v>100000</v>
      </c>
      <c r="C11">
        <v>5</v>
      </c>
      <c r="D11">
        <v>49297</v>
      </c>
      <c r="E11">
        <v>49297</v>
      </c>
      <c r="F11">
        <v>49389</v>
      </c>
      <c r="G11" t="s">
        <v>829</v>
      </c>
      <c r="H11" t="s">
        <v>830</v>
      </c>
      <c r="I11">
        <f t="shared" si="0"/>
        <v>568.52848052978504</v>
      </c>
    </row>
    <row r="12" spans="1:9" x14ac:dyDescent="0.3">
      <c r="A12" t="s">
        <v>810</v>
      </c>
      <c r="B12">
        <v>10000</v>
      </c>
      <c r="C12">
        <v>1</v>
      </c>
      <c r="D12">
        <v>49297</v>
      </c>
      <c r="E12">
        <v>49297</v>
      </c>
      <c r="F12">
        <v>49398</v>
      </c>
      <c r="G12" t="s">
        <v>831</v>
      </c>
      <c r="H12" t="s">
        <v>832</v>
      </c>
      <c r="I12">
        <f t="shared" si="0"/>
        <v>59.269846677780102</v>
      </c>
    </row>
    <row r="13" spans="1:9" x14ac:dyDescent="0.3">
      <c r="A13" t="s">
        <v>810</v>
      </c>
      <c r="B13">
        <v>10000</v>
      </c>
      <c r="C13">
        <v>10</v>
      </c>
      <c r="D13">
        <v>49297</v>
      </c>
      <c r="E13">
        <v>49297</v>
      </c>
      <c r="F13">
        <v>49407</v>
      </c>
      <c r="G13" t="s">
        <v>833</v>
      </c>
      <c r="H13" t="s">
        <v>834</v>
      </c>
      <c r="I13">
        <f t="shared" si="0"/>
        <v>64.394961595535193</v>
      </c>
    </row>
    <row r="14" spans="1:9" x14ac:dyDescent="0.3">
      <c r="A14" t="s">
        <v>810</v>
      </c>
      <c r="B14">
        <v>10000</v>
      </c>
      <c r="C14">
        <v>15</v>
      </c>
      <c r="D14">
        <v>49297</v>
      </c>
      <c r="E14">
        <v>49297</v>
      </c>
      <c r="F14">
        <v>49410</v>
      </c>
      <c r="G14" t="s">
        <v>835</v>
      </c>
      <c r="H14" t="s">
        <v>836</v>
      </c>
      <c r="I14">
        <f t="shared" si="0"/>
        <v>65.129328012466402</v>
      </c>
    </row>
    <row r="15" spans="1:9" x14ac:dyDescent="0.3">
      <c r="A15" t="s">
        <v>810</v>
      </c>
      <c r="B15">
        <v>10000</v>
      </c>
      <c r="C15">
        <v>20</v>
      </c>
      <c r="D15">
        <v>49297</v>
      </c>
      <c r="E15">
        <v>49297</v>
      </c>
      <c r="F15">
        <v>49410</v>
      </c>
      <c r="G15" t="s">
        <v>837</v>
      </c>
      <c r="H15" t="s">
        <v>838</v>
      </c>
      <c r="I15">
        <f t="shared" si="0"/>
        <v>68.047738552093506</v>
      </c>
    </row>
    <row r="16" spans="1:9" x14ac:dyDescent="0.3">
      <c r="A16" t="s">
        <v>810</v>
      </c>
      <c r="B16">
        <v>10000</v>
      </c>
      <c r="C16">
        <v>5</v>
      </c>
      <c r="D16">
        <v>49297</v>
      </c>
      <c r="E16">
        <v>49297</v>
      </c>
      <c r="F16">
        <v>49413</v>
      </c>
      <c r="G16" t="s">
        <v>839</v>
      </c>
      <c r="H16" t="s">
        <v>840</v>
      </c>
      <c r="I16">
        <f t="shared" si="0"/>
        <v>60.6906609535217</v>
      </c>
    </row>
    <row r="17" spans="1:9" x14ac:dyDescent="0.3">
      <c r="A17" t="s">
        <v>810</v>
      </c>
      <c r="B17">
        <v>1000</v>
      </c>
      <c r="C17">
        <v>1</v>
      </c>
      <c r="D17">
        <v>49297</v>
      </c>
      <c r="E17">
        <v>49297</v>
      </c>
      <c r="F17">
        <v>49410</v>
      </c>
      <c r="G17" t="s">
        <v>841</v>
      </c>
      <c r="H17" t="s">
        <v>842</v>
      </c>
      <c r="I17">
        <f t="shared" si="0"/>
        <v>7.0197594165802002</v>
      </c>
    </row>
    <row r="18" spans="1:9" x14ac:dyDescent="0.3">
      <c r="A18" t="s">
        <v>810</v>
      </c>
      <c r="B18">
        <v>1000</v>
      </c>
      <c r="C18">
        <v>10</v>
      </c>
      <c r="D18">
        <v>49297</v>
      </c>
      <c r="E18">
        <v>49297</v>
      </c>
      <c r="F18">
        <v>49422</v>
      </c>
      <c r="G18" t="s">
        <v>843</v>
      </c>
      <c r="H18" t="s">
        <v>844</v>
      </c>
      <c r="I18">
        <f t="shared" si="0"/>
        <v>6.2421720027923504</v>
      </c>
    </row>
    <row r="19" spans="1:9" x14ac:dyDescent="0.3">
      <c r="A19" t="s">
        <v>810</v>
      </c>
      <c r="B19">
        <v>1000</v>
      </c>
      <c r="C19">
        <v>15</v>
      </c>
      <c r="D19">
        <v>49297</v>
      </c>
      <c r="E19">
        <v>49297</v>
      </c>
      <c r="F19">
        <v>49425</v>
      </c>
      <c r="G19" t="s">
        <v>845</v>
      </c>
      <c r="H19" t="s">
        <v>846</v>
      </c>
      <c r="I19">
        <f t="shared" si="0"/>
        <v>6.1927020549774099</v>
      </c>
    </row>
    <row r="20" spans="1:9" x14ac:dyDescent="0.3">
      <c r="A20" t="s">
        <v>810</v>
      </c>
      <c r="B20">
        <v>1000</v>
      </c>
      <c r="C20">
        <v>20</v>
      </c>
      <c r="D20">
        <v>49297</v>
      </c>
      <c r="E20">
        <v>49297</v>
      </c>
      <c r="F20">
        <v>49413</v>
      </c>
      <c r="G20" t="s">
        <v>847</v>
      </c>
      <c r="H20" t="s">
        <v>848</v>
      </c>
      <c r="I20">
        <f t="shared" si="0"/>
        <v>6.59260702133178</v>
      </c>
    </row>
    <row r="21" spans="1:9" x14ac:dyDescent="0.3">
      <c r="A21" t="s">
        <v>810</v>
      </c>
      <c r="B21">
        <v>1000</v>
      </c>
      <c r="C21">
        <v>5</v>
      </c>
      <c r="D21">
        <v>49297</v>
      </c>
      <c r="E21">
        <v>49297</v>
      </c>
      <c r="F21">
        <v>49428</v>
      </c>
      <c r="G21" t="s">
        <v>849</v>
      </c>
      <c r="H21" t="s">
        <v>850</v>
      </c>
      <c r="I21">
        <f t="shared" si="0"/>
        <v>6.4858770370483398</v>
      </c>
    </row>
    <row r="22" spans="1:9" x14ac:dyDescent="0.3">
      <c r="A22" t="s">
        <v>810</v>
      </c>
      <c r="B22">
        <v>100</v>
      </c>
      <c r="C22">
        <v>1</v>
      </c>
      <c r="D22">
        <v>49297</v>
      </c>
      <c r="E22">
        <v>49297</v>
      </c>
      <c r="F22">
        <v>49410</v>
      </c>
      <c r="G22" t="s">
        <v>851</v>
      </c>
      <c r="H22" t="s">
        <v>852</v>
      </c>
      <c r="I22">
        <f t="shared" si="0"/>
        <v>0.71821379661560003</v>
      </c>
    </row>
    <row r="23" spans="1:9" x14ac:dyDescent="0.3">
      <c r="A23" t="s">
        <v>810</v>
      </c>
      <c r="B23">
        <v>100</v>
      </c>
      <c r="C23">
        <v>10</v>
      </c>
      <c r="D23">
        <v>49297</v>
      </c>
      <c r="E23">
        <v>49297</v>
      </c>
      <c r="F23">
        <v>49425</v>
      </c>
      <c r="G23" t="s">
        <v>853</v>
      </c>
      <c r="H23" t="s">
        <v>854</v>
      </c>
      <c r="I23">
        <f t="shared" si="0"/>
        <v>0.63420081138610795</v>
      </c>
    </row>
    <row r="24" spans="1:9" x14ac:dyDescent="0.3">
      <c r="A24" t="s">
        <v>810</v>
      </c>
      <c r="B24">
        <v>100</v>
      </c>
      <c r="C24">
        <v>15</v>
      </c>
      <c r="D24">
        <v>49297</v>
      </c>
      <c r="E24">
        <v>49297</v>
      </c>
      <c r="F24">
        <v>49422</v>
      </c>
      <c r="G24" t="s">
        <v>855</v>
      </c>
      <c r="H24" t="s">
        <v>856</v>
      </c>
      <c r="I24">
        <f t="shared" si="0"/>
        <v>0.63309597969055098</v>
      </c>
    </row>
    <row r="25" spans="1:9" x14ac:dyDescent="0.3">
      <c r="A25" t="s">
        <v>810</v>
      </c>
      <c r="B25">
        <v>100</v>
      </c>
      <c r="C25">
        <v>20</v>
      </c>
      <c r="D25">
        <v>49297</v>
      </c>
      <c r="E25">
        <v>49297</v>
      </c>
      <c r="F25">
        <v>49419</v>
      </c>
      <c r="G25" t="s">
        <v>857</v>
      </c>
      <c r="H25" t="s">
        <v>858</v>
      </c>
      <c r="I25">
        <f t="shared" si="0"/>
        <v>0.71081519126892001</v>
      </c>
    </row>
    <row r="26" spans="1:9" x14ac:dyDescent="0.3">
      <c r="A26" t="s">
        <v>810</v>
      </c>
      <c r="B26">
        <v>100</v>
      </c>
      <c r="C26">
        <v>5</v>
      </c>
      <c r="D26">
        <v>49297</v>
      </c>
      <c r="E26">
        <v>49297</v>
      </c>
      <c r="F26">
        <v>49425</v>
      </c>
      <c r="G26" t="s">
        <v>859</v>
      </c>
      <c r="H26" t="s">
        <v>860</v>
      </c>
      <c r="I26">
        <f t="shared" si="0"/>
        <v>0.70270824432373002</v>
      </c>
    </row>
    <row r="27" spans="1:9" x14ac:dyDescent="0.3">
      <c r="A27" t="s">
        <v>810</v>
      </c>
      <c r="B27">
        <v>500000</v>
      </c>
      <c r="C27">
        <v>1</v>
      </c>
      <c r="D27">
        <v>49297</v>
      </c>
      <c r="E27">
        <v>49297</v>
      </c>
      <c r="F27">
        <v>49389</v>
      </c>
      <c r="G27" t="s">
        <v>861</v>
      </c>
      <c r="H27" t="s">
        <v>862</v>
      </c>
      <c r="I27">
        <f t="shared" si="0"/>
        <v>2900.2051200866699</v>
      </c>
    </row>
    <row r="28" spans="1:9" x14ac:dyDescent="0.3">
      <c r="A28" t="s">
        <v>810</v>
      </c>
      <c r="B28">
        <v>500000</v>
      </c>
      <c r="C28">
        <v>10</v>
      </c>
      <c r="D28">
        <v>49297</v>
      </c>
      <c r="E28">
        <v>49297</v>
      </c>
      <c r="F28">
        <v>49416</v>
      </c>
      <c r="G28" t="s">
        <v>863</v>
      </c>
      <c r="H28" t="s">
        <v>864</v>
      </c>
      <c r="I28">
        <f t="shared" si="0"/>
        <v>2761.1979680061299</v>
      </c>
    </row>
    <row r="29" spans="1:9" x14ac:dyDescent="0.3">
      <c r="A29" t="s">
        <v>810</v>
      </c>
      <c r="B29">
        <v>500000</v>
      </c>
      <c r="C29">
        <v>15</v>
      </c>
      <c r="D29">
        <v>49297</v>
      </c>
      <c r="E29">
        <v>49297</v>
      </c>
      <c r="F29">
        <v>49404</v>
      </c>
      <c r="G29" t="s">
        <v>865</v>
      </c>
      <c r="H29" t="s">
        <v>866</v>
      </c>
      <c r="I29">
        <f t="shared" si="0"/>
        <v>2766.7984213829</v>
      </c>
    </row>
    <row r="30" spans="1:9" x14ac:dyDescent="0.3">
      <c r="A30" t="s">
        <v>810</v>
      </c>
      <c r="B30">
        <v>500000</v>
      </c>
      <c r="C30">
        <v>20</v>
      </c>
      <c r="D30">
        <v>49297</v>
      </c>
      <c r="E30">
        <v>49297</v>
      </c>
      <c r="F30">
        <v>49404</v>
      </c>
      <c r="G30" t="s">
        <v>867</v>
      </c>
      <c r="H30" t="s">
        <v>868</v>
      </c>
      <c r="I30">
        <f t="shared" si="0"/>
        <v>2761.4201354980401</v>
      </c>
    </row>
    <row r="31" spans="1:9" x14ac:dyDescent="0.3">
      <c r="A31" t="s">
        <v>810</v>
      </c>
      <c r="B31">
        <v>500000</v>
      </c>
      <c r="C31">
        <v>5</v>
      </c>
      <c r="D31">
        <v>49297</v>
      </c>
      <c r="E31">
        <v>49297</v>
      </c>
      <c r="F31">
        <v>49395</v>
      </c>
      <c r="G31" t="s">
        <v>869</v>
      </c>
      <c r="H31" t="s">
        <v>870</v>
      </c>
      <c r="I31">
        <f t="shared" si="0"/>
        <v>2775.7652156353001</v>
      </c>
    </row>
    <row r="32" spans="1:9" x14ac:dyDescent="0.3">
      <c r="A32" t="s">
        <v>810</v>
      </c>
      <c r="B32">
        <v>50000</v>
      </c>
      <c r="C32">
        <v>1</v>
      </c>
      <c r="D32">
        <v>49297</v>
      </c>
      <c r="E32">
        <v>49297</v>
      </c>
      <c r="F32">
        <v>49416</v>
      </c>
      <c r="G32" t="s">
        <v>871</v>
      </c>
      <c r="H32" t="s">
        <v>872</v>
      </c>
      <c r="I32">
        <f t="shared" si="0"/>
        <v>307.96813273429802</v>
      </c>
    </row>
    <row r="33" spans="1:9" x14ac:dyDescent="0.3">
      <c r="A33" t="s">
        <v>810</v>
      </c>
      <c r="B33">
        <v>50000</v>
      </c>
      <c r="C33">
        <v>10</v>
      </c>
      <c r="D33">
        <v>49297</v>
      </c>
      <c r="E33">
        <v>49297</v>
      </c>
      <c r="F33">
        <v>49407</v>
      </c>
      <c r="G33" t="s">
        <v>873</v>
      </c>
      <c r="H33" t="s">
        <v>874</v>
      </c>
      <c r="I33">
        <f t="shared" si="0"/>
        <v>316.84601497650101</v>
      </c>
    </row>
    <row r="34" spans="1:9" x14ac:dyDescent="0.3">
      <c r="A34" t="s">
        <v>810</v>
      </c>
      <c r="B34">
        <v>50000</v>
      </c>
      <c r="C34">
        <v>15</v>
      </c>
      <c r="D34">
        <v>49297</v>
      </c>
      <c r="E34">
        <v>49297</v>
      </c>
      <c r="F34">
        <v>49434</v>
      </c>
      <c r="G34" t="s">
        <v>875</v>
      </c>
      <c r="H34" t="s">
        <v>876</v>
      </c>
      <c r="I34">
        <f t="shared" ref="I34:I51" si="1">IF(ISNUMBER(G34), G34, SUBSTITUTE(G34, ".", ",")*1)</f>
        <v>329.88515567779501</v>
      </c>
    </row>
    <row r="35" spans="1:9" x14ac:dyDescent="0.3">
      <c r="A35" t="s">
        <v>810</v>
      </c>
      <c r="B35">
        <v>50000</v>
      </c>
      <c r="C35">
        <v>20</v>
      </c>
      <c r="D35">
        <v>49297</v>
      </c>
      <c r="E35">
        <v>49297</v>
      </c>
      <c r="F35">
        <v>49401</v>
      </c>
      <c r="G35" t="s">
        <v>877</v>
      </c>
      <c r="H35" t="s">
        <v>878</v>
      </c>
      <c r="I35">
        <f t="shared" si="1"/>
        <v>280.48802304267798</v>
      </c>
    </row>
    <row r="36" spans="1:9" x14ac:dyDescent="0.3">
      <c r="A36" t="s">
        <v>810</v>
      </c>
      <c r="B36">
        <v>50000</v>
      </c>
      <c r="C36">
        <v>5</v>
      </c>
      <c r="D36">
        <v>49297</v>
      </c>
      <c r="E36">
        <v>49297</v>
      </c>
      <c r="F36">
        <v>49401</v>
      </c>
      <c r="G36" t="s">
        <v>879</v>
      </c>
      <c r="H36" t="s">
        <v>880</v>
      </c>
      <c r="I36">
        <f t="shared" si="1"/>
        <v>311.73707437515202</v>
      </c>
    </row>
    <row r="37" spans="1:9" x14ac:dyDescent="0.3">
      <c r="A37" t="s">
        <v>810</v>
      </c>
      <c r="B37">
        <v>5000</v>
      </c>
      <c r="C37">
        <v>1</v>
      </c>
      <c r="D37">
        <v>49297</v>
      </c>
      <c r="E37">
        <v>49297</v>
      </c>
      <c r="F37">
        <v>49416</v>
      </c>
      <c r="G37" t="s">
        <v>881</v>
      </c>
      <c r="H37" t="s">
        <v>882</v>
      </c>
      <c r="I37">
        <f t="shared" si="1"/>
        <v>32.971747398376401</v>
      </c>
    </row>
    <row r="38" spans="1:9" x14ac:dyDescent="0.3">
      <c r="A38" t="s">
        <v>810</v>
      </c>
      <c r="B38">
        <v>5000</v>
      </c>
      <c r="C38">
        <v>10</v>
      </c>
      <c r="D38">
        <v>49297</v>
      </c>
      <c r="E38">
        <v>49297</v>
      </c>
      <c r="F38">
        <v>49434</v>
      </c>
      <c r="G38" t="s">
        <v>883</v>
      </c>
      <c r="H38" t="s">
        <v>884</v>
      </c>
      <c r="I38">
        <f t="shared" si="1"/>
        <v>31.392856359481801</v>
      </c>
    </row>
    <row r="39" spans="1:9" x14ac:dyDescent="0.3">
      <c r="A39" t="s">
        <v>810</v>
      </c>
      <c r="B39">
        <v>5000</v>
      </c>
      <c r="C39">
        <v>15</v>
      </c>
      <c r="D39">
        <v>49297</v>
      </c>
      <c r="E39">
        <v>49297</v>
      </c>
      <c r="F39">
        <v>49422</v>
      </c>
      <c r="G39" t="s">
        <v>885</v>
      </c>
      <c r="H39" t="s">
        <v>886</v>
      </c>
      <c r="I39">
        <f t="shared" si="1"/>
        <v>30.034372091293299</v>
      </c>
    </row>
    <row r="40" spans="1:9" x14ac:dyDescent="0.3">
      <c r="A40" t="s">
        <v>810</v>
      </c>
      <c r="B40">
        <v>5000</v>
      </c>
      <c r="C40">
        <v>20</v>
      </c>
      <c r="D40">
        <v>49297</v>
      </c>
      <c r="E40">
        <v>49297</v>
      </c>
      <c r="F40">
        <v>49425</v>
      </c>
      <c r="G40" t="s">
        <v>887</v>
      </c>
      <c r="H40" t="s">
        <v>888</v>
      </c>
      <c r="I40">
        <f t="shared" si="1"/>
        <v>32.805424213409403</v>
      </c>
    </row>
    <row r="41" spans="1:9" x14ac:dyDescent="0.3">
      <c r="A41" t="s">
        <v>810</v>
      </c>
      <c r="B41">
        <v>5000</v>
      </c>
      <c r="C41">
        <v>5</v>
      </c>
      <c r="D41">
        <v>49297</v>
      </c>
      <c r="E41">
        <v>49297</v>
      </c>
      <c r="F41">
        <v>49425</v>
      </c>
      <c r="G41" t="s">
        <v>889</v>
      </c>
      <c r="H41" t="s">
        <v>890</v>
      </c>
      <c r="I41">
        <f t="shared" si="1"/>
        <v>33.214069128036499</v>
      </c>
    </row>
    <row r="42" spans="1:9" x14ac:dyDescent="0.3">
      <c r="A42" t="s">
        <v>810</v>
      </c>
      <c r="B42">
        <v>500</v>
      </c>
      <c r="C42">
        <v>1</v>
      </c>
      <c r="D42">
        <v>49297</v>
      </c>
      <c r="E42">
        <v>49297</v>
      </c>
      <c r="F42">
        <v>49413</v>
      </c>
      <c r="G42" t="s">
        <v>891</v>
      </c>
      <c r="H42" t="s">
        <v>892</v>
      </c>
      <c r="I42">
        <f t="shared" si="1"/>
        <v>2.8900885581970202</v>
      </c>
    </row>
    <row r="43" spans="1:9" x14ac:dyDescent="0.3">
      <c r="A43" t="s">
        <v>810</v>
      </c>
      <c r="B43">
        <v>500</v>
      </c>
      <c r="C43">
        <v>10</v>
      </c>
      <c r="D43">
        <v>49297</v>
      </c>
      <c r="E43">
        <v>49297</v>
      </c>
      <c r="F43">
        <v>49419</v>
      </c>
      <c r="G43" t="s">
        <v>893</v>
      </c>
      <c r="H43" t="s">
        <v>894</v>
      </c>
      <c r="I43">
        <f t="shared" si="1"/>
        <v>4.3070912361145002</v>
      </c>
    </row>
    <row r="44" spans="1:9" x14ac:dyDescent="0.3">
      <c r="A44" t="s">
        <v>810</v>
      </c>
      <c r="B44">
        <v>500</v>
      </c>
      <c r="C44">
        <v>15</v>
      </c>
      <c r="D44">
        <v>49297</v>
      </c>
      <c r="E44">
        <v>49297</v>
      </c>
      <c r="F44">
        <v>49425</v>
      </c>
      <c r="G44" t="s">
        <v>895</v>
      </c>
      <c r="H44" t="s">
        <v>896</v>
      </c>
      <c r="I44">
        <f t="shared" si="1"/>
        <v>3.5035109519958398</v>
      </c>
    </row>
    <row r="45" spans="1:9" x14ac:dyDescent="0.3">
      <c r="A45" t="s">
        <v>810</v>
      </c>
      <c r="B45">
        <v>500</v>
      </c>
      <c r="C45">
        <v>20</v>
      </c>
      <c r="D45">
        <v>49297</v>
      </c>
      <c r="E45">
        <v>49297</v>
      </c>
      <c r="F45">
        <v>49419</v>
      </c>
      <c r="G45" t="s">
        <v>897</v>
      </c>
      <c r="H45" t="s">
        <v>898</v>
      </c>
      <c r="I45">
        <f t="shared" si="1"/>
        <v>3.6879236698150599</v>
      </c>
    </row>
    <row r="46" spans="1:9" x14ac:dyDescent="0.3">
      <c r="A46" t="s">
        <v>810</v>
      </c>
      <c r="B46">
        <v>500</v>
      </c>
      <c r="C46">
        <v>5</v>
      </c>
      <c r="D46">
        <v>49297</v>
      </c>
      <c r="E46">
        <v>49297</v>
      </c>
      <c r="F46">
        <v>49425</v>
      </c>
      <c r="G46" t="s">
        <v>899</v>
      </c>
      <c r="H46" t="s">
        <v>900</v>
      </c>
      <c r="I46">
        <f t="shared" si="1"/>
        <v>4.4368748664855904</v>
      </c>
    </row>
    <row r="47" spans="1:9" x14ac:dyDescent="0.3">
      <c r="A47" t="s">
        <v>810</v>
      </c>
      <c r="B47">
        <v>50</v>
      </c>
      <c r="C47">
        <v>1</v>
      </c>
      <c r="D47">
        <v>49297</v>
      </c>
      <c r="E47">
        <v>49297</v>
      </c>
      <c r="F47">
        <v>49425</v>
      </c>
      <c r="G47" t="s">
        <v>901</v>
      </c>
      <c r="H47" t="s">
        <v>902</v>
      </c>
      <c r="I47">
        <f t="shared" si="1"/>
        <v>0.44477605819702098</v>
      </c>
    </row>
    <row r="48" spans="1:9" x14ac:dyDescent="0.3">
      <c r="A48" t="s">
        <v>810</v>
      </c>
      <c r="B48">
        <v>50</v>
      </c>
      <c r="C48">
        <v>10</v>
      </c>
      <c r="D48">
        <v>49297</v>
      </c>
      <c r="E48">
        <v>49297</v>
      </c>
      <c r="F48">
        <v>49413</v>
      </c>
      <c r="G48" t="s">
        <v>903</v>
      </c>
      <c r="H48" t="s">
        <v>904</v>
      </c>
      <c r="I48">
        <f t="shared" si="1"/>
        <v>0.27962756156921298</v>
      </c>
    </row>
    <row r="49" spans="1:9" x14ac:dyDescent="0.3">
      <c r="A49" t="s">
        <v>810</v>
      </c>
      <c r="B49">
        <v>50</v>
      </c>
      <c r="C49">
        <v>15</v>
      </c>
      <c r="D49">
        <v>49297</v>
      </c>
      <c r="E49">
        <v>49297</v>
      </c>
      <c r="F49">
        <v>49431</v>
      </c>
      <c r="G49" t="s">
        <v>905</v>
      </c>
      <c r="H49" t="s">
        <v>906</v>
      </c>
      <c r="I49">
        <f t="shared" si="1"/>
        <v>0.42311811447143499</v>
      </c>
    </row>
    <row r="50" spans="1:9" x14ac:dyDescent="0.3">
      <c r="A50" t="s">
        <v>810</v>
      </c>
      <c r="B50">
        <v>50</v>
      </c>
      <c r="C50">
        <v>20</v>
      </c>
      <c r="D50">
        <v>49297</v>
      </c>
      <c r="E50">
        <v>49297</v>
      </c>
      <c r="F50">
        <v>49425</v>
      </c>
      <c r="G50" t="s">
        <v>907</v>
      </c>
      <c r="H50" t="s">
        <v>908</v>
      </c>
      <c r="I50">
        <f t="shared" si="1"/>
        <v>0.36230802536010698</v>
      </c>
    </row>
    <row r="51" spans="1:9" x14ac:dyDescent="0.3">
      <c r="A51" t="s">
        <v>810</v>
      </c>
      <c r="B51">
        <v>50</v>
      </c>
      <c r="C51">
        <v>5</v>
      </c>
      <c r="D51">
        <v>49297</v>
      </c>
      <c r="E51">
        <v>49297</v>
      </c>
      <c r="F51">
        <v>49416</v>
      </c>
      <c r="G51" t="s">
        <v>909</v>
      </c>
      <c r="H51" t="s">
        <v>910</v>
      </c>
      <c r="I51">
        <f t="shared" si="1"/>
        <v>0.33621549606323198</v>
      </c>
    </row>
    <row r="57" spans="1:9" x14ac:dyDescent="0.3">
      <c r="A57" t="s">
        <v>103</v>
      </c>
      <c r="B57">
        <f>AVERAGE(results_8_fusionné[tps_nb])</f>
        <v>933.79155380725763</v>
      </c>
    </row>
    <row r="58" spans="1:9" x14ac:dyDescent="0.3">
      <c r="A58" t="s">
        <v>104</v>
      </c>
      <c r="B58">
        <f>MAX(results_8_fusionné[Total profit])</f>
        <v>49434</v>
      </c>
    </row>
    <row r="60" spans="1:9" x14ac:dyDescent="0.3">
      <c r="A60" s="1" t="s">
        <v>105</v>
      </c>
      <c r="B60" t="s">
        <v>107</v>
      </c>
    </row>
    <row r="61" spans="1:9" x14ac:dyDescent="0.3">
      <c r="A61" s="2">
        <v>50</v>
      </c>
      <c r="B61">
        <v>247110</v>
      </c>
    </row>
    <row r="62" spans="1:9" x14ac:dyDescent="0.3">
      <c r="A62" s="2">
        <v>100</v>
      </c>
      <c r="B62">
        <v>247101</v>
      </c>
    </row>
    <row r="63" spans="1:9" x14ac:dyDescent="0.3">
      <c r="A63" s="2">
        <v>500</v>
      </c>
      <c r="B63">
        <v>247101</v>
      </c>
    </row>
    <row r="64" spans="1:9" x14ac:dyDescent="0.3">
      <c r="A64" s="2">
        <v>1000</v>
      </c>
      <c r="B64">
        <v>247098</v>
      </c>
    </row>
    <row r="65" spans="1:2" x14ac:dyDescent="0.3">
      <c r="A65" s="2">
        <v>5000</v>
      </c>
      <c r="B65">
        <v>247122</v>
      </c>
    </row>
    <row r="66" spans="1:2" x14ac:dyDescent="0.3">
      <c r="A66" s="2">
        <v>10000</v>
      </c>
      <c r="B66">
        <v>247038</v>
      </c>
    </row>
    <row r="67" spans="1:2" x14ac:dyDescent="0.3">
      <c r="A67" s="2">
        <v>50000</v>
      </c>
      <c r="B67">
        <v>247059</v>
      </c>
    </row>
    <row r="68" spans="1:2" x14ac:dyDescent="0.3">
      <c r="A68" s="2">
        <v>100000</v>
      </c>
      <c r="B68">
        <v>247020</v>
      </c>
    </row>
    <row r="69" spans="1:2" x14ac:dyDescent="0.3">
      <c r="A69" s="2">
        <v>500000</v>
      </c>
      <c r="B69">
        <v>247008</v>
      </c>
    </row>
    <row r="70" spans="1:2" x14ac:dyDescent="0.3">
      <c r="A70" s="2">
        <v>1000000</v>
      </c>
      <c r="B70">
        <v>247017</v>
      </c>
    </row>
    <row r="71" spans="1:2" x14ac:dyDescent="0.3">
      <c r="A71" s="2" t="s">
        <v>106</v>
      </c>
      <c r="B71">
        <v>2470674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49410.9</v>
      </c>
    </row>
    <row r="79" spans="1:2" x14ac:dyDescent="0.3">
      <c r="A79" s="2">
        <v>5</v>
      </c>
      <c r="B79">
        <v>49410.3</v>
      </c>
    </row>
    <row r="80" spans="1:2" x14ac:dyDescent="0.3">
      <c r="A80" s="2">
        <v>10</v>
      </c>
      <c r="B80">
        <v>49416.6</v>
      </c>
    </row>
    <row r="81" spans="1:2" x14ac:dyDescent="0.3">
      <c r="A81" s="2">
        <v>15</v>
      </c>
      <c r="B81">
        <v>49417.2</v>
      </c>
    </row>
    <row r="82" spans="1:2" x14ac:dyDescent="0.3">
      <c r="A82" s="2">
        <v>20</v>
      </c>
      <c r="B82">
        <v>49412.4</v>
      </c>
    </row>
    <row r="83" spans="1:2" x14ac:dyDescent="0.3">
      <c r="A83" s="2" t="s">
        <v>106</v>
      </c>
      <c r="B83">
        <v>49413.48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4BD00-A780-4927-88F2-5359D82FE77E}">
  <dimension ref="A1:J27"/>
  <sheetViews>
    <sheetView topLeftCell="C1" workbookViewId="0">
      <selection activeCell="H10" sqref="H10"/>
    </sheetView>
  </sheetViews>
  <sheetFormatPr baseColWidth="10" defaultRowHeight="14.4" x14ac:dyDescent="0.3"/>
  <cols>
    <col min="1" max="1" width="22.77734375" bestFit="1" customWidth="1"/>
    <col min="2" max="2" width="16.77734375" bestFit="1" customWidth="1"/>
    <col min="3" max="3" width="20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59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  <c r="J1" t="s">
        <v>947</v>
      </c>
    </row>
    <row r="2" spans="1:10" hidden="1" x14ac:dyDescent="0.3">
      <c r="A2" t="s">
        <v>109</v>
      </c>
      <c r="B2">
        <v>1000</v>
      </c>
      <c r="C2">
        <v>10</v>
      </c>
      <c r="D2">
        <v>4556</v>
      </c>
      <c r="E2">
        <v>4528</v>
      </c>
      <c r="F2">
        <v>4514</v>
      </c>
      <c r="G2" t="s">
        <v>911</v>
      </c>
      <c r="H2" t="s">
        <v>912</v>
      </c>
      <c r="I2">
        <f t="shared" ref="I2:I19" si="0">IF(ISNUMBER(G2), G2, SUBSTITUTE(G2, ".", ",")*1)</f>
        <v>0.29397463798522899</v>
      </c>
      <c r="J2">
        <v>4514</v>
      </c>
    </row>
    <row r="3" spans="1:10" hidden="1" x14ac:dyDescent="0.3">
      <c r="A3" t="s">
        <v>607</v>
      </c>
      <c r="B3">
        <v>100</v>
      </c>
      <c r="C3">
        <v>5</v>
      </c>
      <c r="D3">
        <v>45132</v>
      </c>
      <c r="E3">
        <v>45132</v>
      </c>
      <c r="F3">
        <v>42472</v>
      </c>
      <c r="G3" t="s">
        <v>913</v>
      </c>
      <c r="H3" t="s">
        <v>914</v>
      </c>
      <c r="I3">
        <f t="shared" si="0"/>
        <v>0.54071950912475497</v>
      </c>
      <c r="J3">
        <v>42859</v>
      </c>
    </row>
    <row r="4" spans="1:10" hidden="1" x14ac:dyDescent="0.3">
      <c r="A4" t="s">
        <v>607</v>
      </c>
      <c r="B4">
        <v>500</v>
      </c>
      <c r="C4">
        <v>5</v>
      </c>
      <c r="D4">
        <v>45132</v>
      </c>
      <c r="E4">
        <v>45128</v>
      </c>
      <c r="F4">
        <v>42510</v>
      </c>
      <c r="G4" t="s">
        <v>915</v>
      </c>
      <c r="H4" t="s">
        <v>916</v>
      </c>
      <c r="I4">
        <f t="shared" si="0"/>
        <v>2.74549007415771</v>
      </c>
      <c r="J4">
        <v>42859</v>
      </c>
    </row>
    <row r="5" spans="1:10" hidden="1" x14ac:dyDescent="0.3">
      <c r="A5" t="s">
        <v>310</v>
      </c>
      <c r="B5">
        <v>50</v>
      </c>
      <c r="C5">
        <v>15</v>
      </c>
      <c r="D5">
        <v>3177</v>
      </c>
      <c r="E5">
        <v>3167</v>
      </c>
      <c r="F5">
        <v>5187</v>
      </c>
      <c r="G5" t="s">
        <v>923</v>
      </c>
      <c r="H5" t="s">
        <v>924</v>
      </c>
      <c r="I5">
        <f t="shared" ref="I5:I11" si="1">IF(ISNUMBER(G5), G5, SUBSTITUTE(G5, ".", ",")*1)</f>
        <v>2.0000457763671799E-2</v>
      </c>
      <c r="J5">
        <v>5109</v>
      </c>
    </row>
    <row r="6" spans="1:10" hidden="1" x14ac:dyDescent="0.3">
      <c r="A6" t="s">
        <v>310</v>
      </c>
      <c r="B6">
        <v>100</v>
      </c>
      <c r="C6">
        <v>5</v>
      </c>
      <c r="D6">
        <v>3177</v>
      </c>
      <c r="E6">
        <v>3163</v>
      </c>
      <c r="F6">
        <v>5343</v>
      </c>
      <c r="G6" t="s">
        <v>921</v>
      </c>
      <c r="H6" t="s">
        <v>922</v>
      </c>
      <c r="I6">
        <f t="shared" si="1"/>
        <v>2.8580904006958001E-2</v>
      </c>
      <c r="J6">
        <v>5109</v>
      </c>
    </row>
    <row r="7" spans="1:10" hidden="1" x14ac:dyDescent="0.3">
      <c r="A7" t="s">
        <v>310</v>
      </c>
      <c r="B7">
        <v>100</v>
      </c>
      <c r="C7">
        <v>20</v>
      </c>
      <c r="D7">
        <v>3177</v>
      </c>
      <c r="E7">
        <v>3161</v>
      </c>
      <c r="F7">
        <v>5421</v>
      </c>
      <c r="G7" t="s">
        <v>919</v>
      </c>
      <c r="H7" t="s">
        <v>920</v>
      </c>
      <c r="I7">
        <f t="shared" si="1"/>
        <v>2.61626243591308E-2</v>
      </c>
      <c r="J7">
        <v>5109</v>
      </c>
    </row>
    <row r="8" spans="1:10" hidden="1" x14ac:dyDescent="0.3">
      <c r="A8" t="s">
        <v>310</v>
      </c>
      <c r="B8">
        <v>1000</v>
      </c>
      <c r="C8">
        <v>1</v>
      </c>
      <c r="D8">
        <v>3177</v>
      </c>
      <c r="E8">
        <v>3167</v>
      </c>
      <c r="F8">
        <v>5187</v>
      </c>
      <c r="G8" t="s">
        <v>917</v>
      </c>
      <c r="H8" t="s">
        <v>918</v>
      </c>
      <c r="I8">
        <f t="shared" si="1"/>
        <v>0.21878910064697199</v>
      </c>
      <c r="J8">
        <v>5109</v>
      </c>
    </row>
    <row r="9" spans="1:10" hidden="1" x14ac:dyDescent="0.3">
      <c r="A9" t="s">
        <v>709</v>
      </c>
      <c r="B9">
        <v>50</v>
      </c>
      <c r="C9">
        <v>5</v>
      </c>
      <c r="D9">
        <v>31234</v>
      </c>
      <c r="E9">
        <v>31221</v>
      </c>
      <c r="F9">
        <v>43641</v>
      </c>
      <c r="G9" t="s">
        <v>929</v>
      </c>
      <c r="H9" t="s">
        <v>930</v>
      </c>
      <c r="I9">
        <f t="shared" si="1"/>
        <v>0.365796089172363</v>
      </c>
      <c r="J9">
        <v>44382</v>
      </c>
    </row>
    <row r="10" spans="1:10" hidden="1" x14ac:dyDescent="0.3">
      <c r="A10" t="s">
        <v>709</v>
      </c>
      <c r="B10">
        <v>50</v>
      </c>
      <c r="C10">
        <v>10</v>
      </c>
      <c r="D10">
        <v>31234</v>
      </c>
      <c r="E10">
        <v>31233</v>
      </c>
      <c r="F10">
        <v>44733</v>
      </c>
      <c r="G10" t="s">
        <v>927</v>
      </c>
      <c r="H10" t="s">
        <v>928</v>
      </c>
      <c r="I10">
        <f t="shared" si="1"/>
        <v>0.44877552986144997</v>
      </c>
      <c r="J10">
        <v>44382</v>
      </c>
    </row>
    <row r="11" spans="1:10" hidden="1" x14ac:dyDescent="0.3">
      <c r="A11" t="s">
        <v>709</v>
      </c>
      <c r="B11">
        <v>500</v>
      </c>
      <c r="C11">
        <v>20</v>
      </c>
      <c r="D11">
        <v>31234</v>
      </c>
      <c r="E11">
        <v>31219</v>
      </c>
      <c r="F11">
        <v>43719</v>
      </c>
      <c r="G11" t="s">
        <v>925</v>
      </c>
      <c r="H11" t="s">
        <v>926</v>
      </c>
      <c r="I11">
        <f t="shared" si="1"/>
        <v>3.4992876052856401</v>
      </c>
      <c r="J11">
        <v>44382</v>
      </c>
    </row>
    <row r="12" spans="1:10" hidden="1" x14ac:dyDescent="0.3">
      <c r="A12" t="s">
        <v>411</v>
      </c>
      <c r="B12">
        <v>1000</v>
      </c>
      <c r="C12">
        <v>1</v>
      </c>
      <c r="D12">
        <v>997</v>
      </c>
      <c r="E12">
        <v>996</v>
      </c>
      <c r="F12">
        <v>1005</v>
      </c>
      <c r="G12" t="s">
        <v>931</v>
      </c>
      <c r="H12" t="s">
        <v>932</v>
      </c>
      <c r="I12">
        <f t="shared" si="0"/>
        <v>2.16333866119384E-2</v>
      </c>
      <c r="J12">
        <v>1008</v>
      </c>
    </row>
    <row r="13" spans="1:10" hidden="1" x14ac:dyDescent="0.3">
      <c r="A13" t="s">
        <v>411</v>
      </c>
      <c r="B13">
        <v>500</v>
      </c>
      <c r="C13">
        <v>10</v>
      </c>
      <c r="D13">
        <v>997</v>
      </c>
      <c r="E13">
        <v>997</v>
      </c>
      <c r="F13">
        <v>1005</v>
      </c>
      <c r="G13" t="s">
        <v>933</v>
      </c>
      <c r="H13" t="s">
        <v>934</v>
      </c>
      <c r="I13">
        <f t="shared" si="0"/>
        <v>1.31890773773193E-2</v>
      </c>
      <c r="J13">
        <v>1008</v>
      </c>
    </row>
    <row r="14" spans="1:10" hidden="1" x14ac:dyDescent="0.3">
      <c r="A14" t="s">
        <v>411</v>
      </c>
      <c r="B14">
        <v>500</v>
      </c>
      <c r="C14">
        <v>20</v>
      </c>
      <c r="D14">
        <v>997</v>
      </c>
      <c r="E14">
        <v>997</v>
      </c>
      <c r="F14">
        <v>1005</v>
      </c>
      <c r="G14" t="s">
        <v>935</v>
      </c>
      <c r="H14" t="s">
        <v>936</v>
      </c>
      <c r="I14">
        <f t="shared" si="0"/>
        <v>1.21381282806396E-2</v>
      </c>
      <c r="J14">
        <v>1008</v>
      </c>
    </row>
    <row r="15" spans="1:10" hidden="1" x14ac:dyDescent="0.3">
      <c r="A15" t="s">
        <v>507</v>
      </c>
      <c r="B15">
        <v>1000</v>
      </c>
      <c r="C15">
        <v>5</v>
      </c>
      <c r="D15">
        <v>4816</v>
      </c>
      <c r="E15">
        <v>4816</v>
      </c>
      <c r="F15">
        <v>4839</v>
      </c>
      <c r="G15" t="s">
        <v>937</v>
      </c>
      <c r="H15" t="s">
        <v>938</v>
      </c>
      <c r="I15">
        <f t="shared" si="0"/>
        <v>0.21262049674987701</v>
      </c>
      <c r="J15">
        <v>4839</v>
      </c>
    </row>
    <row r="16" spans="1:10" hidden="1" x14ac:dyDescent="0.3">
      <c r="A16" t="s">
        <v>507</v>
      </c>
      <c r="B16">
        <v>100</v>
      </c>
      <c r="C16">
        <v>5</v>
      </c>
      <c r="D16">
        <v>4816</v>
      </c>
      <c r="E16">
        <v>4816</v>
      </c>
      <c r="F16">
        <v>4839</v>
      </c>
      <c r="G16" t="s">
        <v>939</v>
      </c>
      <c r="H16" t="s">
        <v>940</v>
      </c>
      <c r="I16">
        <f t="shared" si="0"/>
        <v>2.02200412750244E-2</v>
      </c>
      <c r="J16">
        <v>4839</v>
      </c>
    </row>
    <row r="17" spans="1:10" x14ac:dyDescent="0.3">
      <c r="A17" t="s">
        <v>810</v>
      </c>
      <c r="B17">
        <v>50000</v>
      </c>
      <c r="C17">
        <v>15</v>
      </c>
      <c r="D17">
        <v>49297</v>
      </c>
      <c r="E17">
        <v>49297</v>
      </c>
      <c r="F17">
        <v>49434</v>
      </c>
      <c r="G17" t="s">
        <v>941</v>
      </c>
      <c r="H17" t="s">
        <v>942</v>
      </c>
      <c r="I17">
        <f t="shared" si="0"/>
        <v>250.449151277542</v>
      </c>
      <c r="J17">
        <v>49434</v>
      </c>
    </row>
    <row r="18" spans="1:10" x14ac:dyDescent="0.3">
      <c r="A18" t="s">
        <v>810</v>
      </c>
      <c r="B18">
        <v>5000</v>
      </c>
      <c r="C18">
        <v>10</v>
      </c>
      <c r="D18">
        <v>49297</v>
      </c>
      <c r="E18">
        <v>49297</v>
      </c>
      <c r="F18">
        <v>49437</v>
      </c>
      <c r="G18" t="s">
        <v>943</v>
      </c>
      <c r="H18" t="s">
        <v>944</v>
      </c>
      <c r="I18">
        <f t="shared" si="0"/>
        <v>29.183103084564198</v>
      </c>
      <c r="J18">
        <v>49434</v>
      </c>
    </row>
    <row r="19" spans="1:10" x14ac:dyDescent="0.3">
      <c r="A19" t="s">
        <v>810</v>
      </c>
      <c r="B19">
        <v>5000</v>
      </c>
      <c r="C19">
        <v>15</v>
      </c>
      <c r="D19">
        <v>49297</v>
      </c>
      <c r="E19">
        <v>49297</v>
      </c>
      <c r="F19">
        <v>49428</v>
      </c>
      <c r="G19" t="s">
        <v>945</v>
      </c>
      <c r="H19" t="s">
        <v>946</v>
      </c>
      <c r="I19">
        <f t="shared" si="0"/>
        <v>33.323770046234102</v>
      </c>
      <c r="J19">
        <v>49434</v>
      </c>
    </row>
    <row r="22" spans="1:10" x14ac:dyDescent="0.3">
      <c r="A22" t="s">
        <v>103</v>
      </c>
      <c r="B22">
        <f>AVERAGE(results2_fusionné[tps_nb])</f>
        <v>17.856855670611058</v>
      </c>
    </row>
    <row r="25" spans="1:10" x14ac:dyDescent="0.3">
      <c r="A25" s="1" t="s">
        <v>105</v>
      </c>
      <c r="B25" t="s">
        <v>708</v>
      </c>
      <c r="C25" t="s">
        <v>948</v>
      </c>
    </row>
    <row r="26" spans="1:10" x14ac:dyDescent="0.3">
      <c r="A26" s="2" t="s">
        <v>810</v>
      </c>
      <c r="B26">
        <v>49437</v>
      </c>
      <c r="C26">
        <v>49434</v>
      </c>
    </row>
    <row r="27" spans="1:10" x14ac:dyDescent="0.3">
      <c r="A27" s="2" t="s">
        <v>106</v>
      </c>
      <c r="B27">
        <v>49437</v>
      </c>
      <c r="C27">
        <v>49434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FD07F-86FC-4F54-B576-E4D026CE675F}">
  <dimension ref="A1:I12"/>
  <sheetViews>
    <sheetView workbookViewId="0">
      <selection activeCell="B20" sqref="B20"/>
    </sheetView>
  </sheetViews>
  <sheetFormatPr baseColWidth="10" defaultRowHeight="14.4" x14ac:dyDescent="0.3"/>
  <cols>
    <col min="1" max="1" width="22.77734375" bestFit="1" customWidth="1"/>
    <col min="2" max="2" width="16.77734375" bestFit="1" customWidth="1"/>
    <col min="3" max="3" width="17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8867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956</v>
      </c>
    </row>
    <row r="2" spans="1:9" x14ac:dyDescent="0.3">
      <c r="A2" s="3" t="s">
        <v>709</v>
      </c>
      <c r="B2">
        <v>50</v>
      </c>
      <c r="C2">
        <v>10</v>
      </c>
      <c r="D2">
        <v>31234</v>
      </c>
      <c r="E2">
        <v>31225</v>
      </c>
      <c r="F2">
        <v>46605</v>
      </c>
      <c r="G2" s="3" t="s">
        <v>952</v>
      </c>
      <c r="H2" s="3" t="s">
        <v>953</v>
      </c>
      <c r="I2">
        <v>44733</v>
      </c>
    </row>
    <row r="3" spans="1:9" x14ac:dyDescent="0.3">
      <c r="A3" s="3" t="s">
        <v>310</v>
      </c>
      <c r="B3">
        <v>100</v>
      </c>
      <c r="C3">
        <v>20</v>
      </c>
      <c r="D3">
        <v>3177</v>
      </c>
      <c r="E3">
        <v>3172</v>
      </c>
      <c r="F3">
        <v>5772</v>
      </c>
      <c r="G3" s="3" t="s">
        <v>950</v>
      </c>
      <c r="H3" s="3" t="s">
        <v>951</v>
      </c>
      <c r="I3">
        <v>5421</v>
      </c>
    </row>
    <row r="4" spans="1:9" x14ac:dyDescent="0.3">
      <c r="A4" s="3" t="s">
        <v>810</v>
      </c>
      <c r="B4">
        <v>5000</v>
      </c>
      <c r="C4">
        <v>10</v>
      </c>
      <c r="D4">
        <v>49297</v>
      </c>
      <c r="E4">
        <v>49297</v>
      </c>
      <c r="F4">
        <v>49449</v>
      </c>
      <c r="G4" s="3" t="s">
        <v>954</v>
      </c>
      <c r="H4" s="3" t="s">
        <v>955</v>
      </c>
      <c r="I4">
        <v>49437</v>
      </c>
    </row>
    <row r="8" spans="1:9" x14ac:dyDescent="0.3">
      <c r="A8" s="1" t="s">
        <v>105</v>
      </c>
      <c r="B8" t="s">
        <v>708</v>
      </c>
      <c r="C8" t="s">
        <v>957</v>
      </c>
    </row>
    <row r="9" spans="1:9" x14ac:dyDescent="0.3">
      <c r="A9" s="2" t="s">
        <v>709</v>
      </c>
      <c r="B9" s="3">
        <v>46605</v>
      </c>
      <c r="C9" s="3">
        <v>44733</v>
      </c>
    </row>
    <row r="10" spans="1:9" x14ac:dyDescent="0.3">
      <c r="A10" s="2" t="s">
        <v>310</v>
      </c>
      <c r="B10" s="3">
        <v>5772</v>
      </c>
      <c r="C10" s="3">
        <v>5421</v>
      </c>
    </row>
    <row r="11" spans="1:9" x14ac:dyDescent="0.3">
      <c r="A11" s="2" t="s">
        <v>810</v>
      </c>
      <c r="B11" s="3">
        <v>49449</v>
      </c>
      <c r="C11" s="3">
        <v>49437</v>
      </c>
    </row>
    <row r="12" spans="1:9" x14ac:dyDescent="0.3">
      <c r="A12" s="2" t="s">
        <v>106</v>
      </c>
      <c r="B12" s="3">
        <v>49449</v>
      </c>
      <c r="C12" s="3">
        <v>49437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33E76-93DB-4EBF-B296-DC1554D5F51F}">
  <dimension ref="A1:K221"/>
  <sheetViews>
    <sheetView workbookViewId="0">
      <selection sqref="A1:H1"/>
    </sheetView>
  </sheetViews>
  <sheetFormatPr baseColWidth="10" defaultRowHeight="14.4" x14ac:dyDescent="0.3"/>
  <cols>
    <col min="1" max="1" width="19.5546875" bestFit="1" customWidth="1"/>
    <col min="2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12" bestFit="1" customWidth="1"/>
    <col min="10" max="10" width="19.5546875" bestFit="1" customWidth="1"/>
    <col min="11" max="11" width="16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102</v>
      </c>
    </row>
    <row r="2" spans="1:11" x14ac:dyDescent="0.3">
      <c r="A2" t="s">
        <v>8</v>
      </c>
      <c r="B2">
        <v>1000000</v>
      </c>
      <c r="C2">
        <v>1</v>
      </c>
      <c r="D2">
        <v>970</v>
      </c>
      <c r="E2">
        <v>970</v>
      </c>
      <c r="F2">
        <v>970</v>
      </c>
      <c r="G2" t="s">
        <v>9</v>
      </c>
      <c r="H2">
        <f>IF(ISNUMBER(G2), G2, SUBSTITUTE(G2, ".", ",")*1)</f>
        <v>47.827348470687802</v>
      </c>
    </row>
    <row r="3" spans="1:11" x14ac:dyDescent="0.3">
      <c r="A3" t="s">
        <v>8</v>
      </c>
      <c r="B3">
        <v>1000000</v>
      </c>
      <c r="C3">
        <v>10</v>
      </c>
      <c r="D3">
        <v>970</v>
      </c>
      <c r="E3">
        <v>970</v>
      </c>
      <c r="F3">
        <v>970</v>
      </c>
      <c r="G3" t="s">
        <v>11</v>
      </c>
      <c r="H3">
        <f t="shared" ref="H3:H66" si="0">IF(ISNUMBER(G3), G3, SUBSTITUTE(G3, ".", ",")*1)</f>
        <v>0</v>
      </c>
    </row>
    <row r="4" spans="1:11" x14ac:dyDescent="0.3">
      <c r="A4" t="s">
        <v>8</v>
      </c>
      <c r="B4">
        <v>1000000</v>
      </c>
      <c r="C4">
        <v>15</v>
      </c>
      <c r="D4">
        <v>970</v>
      </c>
      <c r="E4">
        <v>970</v>
      </c>
      <c r="F4">
        <v>970</v>
      </c>
      <c r="G4" t="s">
        <v>13</v>
      </c>
      <c r="H4">
        <f t="shared" si="0"/>
        <v>1.162052154541E-3</v>
      </c>
      <c r="J4" s="1" t="s">
        <v>105</v>
      </c>
      <c r="K4" t="s">
        <v>949</v>
      </c>
    </row>
    <row r="5" spans="1:11" x14ac:dyDescent="0.3">
      <c r="A5" t="s">
        <v>8</v>
      </c>
      <c r="B5">
        <v>1000000</v>
      </c>
      <c r="C5">
        <v>20</v>
      </c>
      <c r="D5">
        <v>970</v>
      </c>
      <c r="E5">
        <v>970</v>
      </c>
      <c r="F5">
        <v>970</v>
      </c>
      <c r="G5" t="s">
        <v>11</v>
      </c>
      <c r="H5">
        <f t="shared" si="0"/>
        <v>0</v>
      </c>
      <c r="J5" s="2">
        <v>50</v>
      </c>
      <c r="K5" s="3">
        <v>2.8775374094644935E-3</v>
      </c>
    </row>
    <row r="6" spans="1:11" x14ac:dyDescent="0.3">
      <c r="A6" t="s">
        <v>8</v>
      </c>
      <c r="B6">
        <v>1000000</v>
      </c>
      <c r="C6">
        <v>5</v>
      </c>
      <c r="D6">
        <v>970</v>
      </c>
      <c r="E6">
        <v>970</v>
      </c>
      <c r="F6">
        <v>970</v>
      </c>
      <c r="G6" t="s">
        <v>16</v>
      </c>
      <c r="H6">
        <f t="shared" si="0"/>
        <v>1.3794898986816001E-3</v>
      </c>
      <c r="J6" s="2">
        <v>100</v>
      </c>
      <c r="K6" s="3">
        <v>2.9527823130289124E-3</v>
      </c>
    </row>
    <row r="7" spans="1:11" x14ac:dyDescent="0.3">
      <c r="A7" t="s">
        <v>8</v>
      </c>
      <c r="B7">
        <v>100000</v>
      </c>
      <c r="C7">
        <v>1</v>
      </c>
      <c r="D7">
        <v>970</v>
      </c>
      <c r="E7">
        <v>970</v>
      </c>
      <c r="F7">
        <v>970</v>
      </c>
      <c r="G7" t="s">
        <v>18</v>
      </c>
      <c r="H7">
        <f t="shared" si="0"/>
        <v>4.9117052555084202</v>
      </c>
      <c r="J7" s="2">
        <v>500</v>
      </c>
      <c r="K7" s="3">
        <v>1.2292448679606074E-2</v>
      </c>
    </row>
    <row r="8" spans="1:11" x14ac:dyDescent="0.3">
      <c r="A8" t="s">
        <v>8</v>
      </c>
      <c r="B8">
        <v>100000</v>
      </c>
      <c r="C8">
        <v>10</v>
      </c>
      <c r="D8">
        <v>970</v>
      </c>
      <c r="E8">
        <v>970</v>
      </c>
      <c r="F8">
        <v>970</v>
      </c>
      <c r="G8" t="s">
        <v>11</v>
      </c>
      <c r="H8">
        <f t="shared" si="0"/>
        <v>0</v>
      </c>
      <c r="J8" s="2">
        <v>1000</v>
      </c>
      <c r="K8" s="3">
        <v>3.1108077367146769E-2</v>
      </c>
    </row>
    <row r="9" spans="1:11" x14ac:dyDescent="0.3">
      <c r="A9" t="s">
        <v>8</v>
      </c>
      <c r="B9">
        <v>100000</v>
      </c>
      <c r="C9">
        <v>15</v>
      </c>
      <c r="D9">
        <v>970</v>
      </c>
      <c r="E9">
        <v>970</v>
      </c>
      <c r="F9">
        <v>970</v>
      </c>
      <c r="G9" t="s">
        <v>21</v>
      </c>
      <c r="H9">
        <f t="shared" si="0"/>
        <v>3.6742177009582502</v>
      </c>
      <c r="J9" s="2">
        <v>5000</v>
      </c>
      <c r="K9" s="3">
        <v>8.882640202840146E-2</v>
      </c>
    </row>
    <row r="10" spans="1:11" x14ac:dyDescent="0.3">
      <c r="A10" t="s">
        <v>8</v>
      </c>
      <c r="B10">
        <v>100000</v>
      </c>
      <c r="C10">
        <v>20</v>
      </c>
      <c r="D10">
        <v>970</v>
      </c>
      <c r="E10">
        <v>970</v>
      </c>
      <c r="F10">
        <v>970</v>
      </c>
      <c r="G10" t="s">
        <v>23</v>
      </c>
      <c r="H10">
        <f t="shared" si="0"/>
        <v>9.9849700927729995E-4</v>
      </c>
      <c r="J10" s="2">
        <v>10000</v>
      </c>
      <c r="K10" s="3">
        <v>0.24218711853027311</v>
      </c>
    </row>
    <row r="11" spans="1:11" x14ac:dyDescent="0.3">
      <c r="A11" t="s">
        <v>8</v>
      </c>
      <c r="B11">
        <v>100000</v>
      </c>
      <c r="C11">
        <v>5</v>
      </c>
      <c r="D11">
        <v>970</v>
      </c>
      <c r="E11">
        <v>970</v>
      </c>
      <c r="F11">
        <v>970</v>
      </c>
      <c r="G11" t="s">
        <v>25</v>
      </c>
      <c r="H11">
        <f t="shared" si="0"/>
        <v>4.1733338832855198</v>
      </c>
      <c r="J11" s="2">
        <v>50000</v>
      </c>
      <c r="K11" s="3">
        <v>1.2087772051493297</v>
      </c>
    </row>
    <row r="12" spans="1:11" x14ac:dyDescent="0.3">
      <c r="A12" t="s">
        <v>8</v>
      </c>
      <c r="B12">
        <v>10000</v>
      </c>
      <c r="C12">
        <v>1</v>
      </c>
      <c r="D12">
        <v>970</v>
      </c>
      <c r="E12">
        <v>951</v>
      </c>
      <c r="F12">
        <v>811</v>
      </c>
      <c r="G12" t="s">
        <v>27</v>
      </c>
      <c r="H12">
        <f t="shared" si="0"/>
        <v>0.68411469459533603</v>
      </c>
      <c r="J12" s="2">
        <v>100000</v>
      </c>
      <c r="K12" s="3">
        <v>2.5809940497080461</v>
      </c>
    </row>
    <row r="13" spans="1:11" x14ac:dyDescent="0.3">
      <c r="A13" t="s">
        <v>8</v>
      </c>
      <c r="B13">
        <v>10000</v>
      </c>
      <c r="C13">
        <v>10</v>
      </c>
      <c r="D13">
        <v>970</v>
      </c>
      <c r="E13">
        <v>970</v>
      </c>
      <c r="F13">
        <v>970</v>
      </c>
      <c r="G13" t="s">
        <v>29</v>
      </c>
      <c r="H13">
        <f t="shared" si="0"/>
        <v>1.9941329956053998E-3</v>
      </c>
      <c r="J13" s="2">
        <v>500000</v>
      </c>
      <c r="K13" s="3">
        <v>10.625747966766331</v>
      </c>
    </row>
    <row r="14" spans="1:11" x14ac:dyDescent="0.3">
      <c r="A14" t="s">
        <v>8</v>
      </c>
      <c r="B14">
        <v>10000</v>
      </c>
      <c r="C14">
        <v>15</v>
      </c>
      <c r="D14">
        <v>970</v>
      </c>
      <c r="E14">
        <v>970</v>
      </c>
      <c r="F14">
        <v>970</v>
      </c>
      <c r="G14" t="s">
        <v>31</v>
      </c>
      <c r="H14">
        <f t="shared" si="0"/>
        <v>3.9925575256346997E-3</v>
      </c>
      <c r="J14" s="2">
        <v>1000000</v>
      </c>
      <c r="K14" s="3">
        <v>16.833135716120385</v>
      </c>
    </row>
    <row r="15" spans="1:11" x14ac:dyDescent="0.3">
      <c r="A15" t="s">
        <v>8</v>
      </c>
      <c r="B15">
        <v>10000</v>
      </c>
      <c r="C15">
        <v>20</v>
      </c>
      <c r="D15">
        <v>970</v>
      </c>
      <c r="E15">
        <v>970</v>
      </c>
      <c r="F15">
        <v>970</v>
      </c>
      <c r="G15" t="s">
        <v>33</v>
      </c>
      <c r="H15">
        <f t="shared" si="0"/>
        <v>1.9953250885008998E-3</v>
      </c>
      <c r="J15" s="2" t="s">
        <v>106</v>
      </c>
      <c r="K15" s="3">
        <v>3.1628899304072013</v>
      </c>
    </row>
    <row r="16" spans="1:11" x14ac:dyDescent="0.3">
      <c r="A16" t="s">
        <v>8</v>
      </c>
      <c r="B16">
        <v>10000</v>
      </c>
      <c r="C16">
        <v>5</v>
      </c>
      <c r="D16">
        <v>970</v>
      </c>
      <c r="E16">
        <v>970</v>
      </c>
      <c r="F16">
        <v>970</v>
      </c>
      <c r="G16" t="s">
        <v>35</v>
      </c>
      <c r="H16">
        <f t="shared" si="0"/>
        <v>0.51176428794860795</v>
      </c>
    </row>
    <row r="17" spans="1:8" x14ac:dyDescent="0.3">
      <c r="A17" t="s">
        <v>8</v>
      </c>
      <c r="B17">
        <v>1000</v>
      </c>
      <c r="C17">
        <v>1</v>
      </c>
      <c r="D17">
        <v>970</v>
      </c>
      <c r="E17">
        <v>947</v>
      </c>
      <c r="F17">
        <v>849</v>
      </c>
      <c r="G17" t="s">
        <v>37</v>
      </c>
      <c r="H17">
        <f t="shared" si="0"/>
        <v>6.6370248794555595E-2</v>
      </c>
    </row>
    <row r="18" spans="1:8" x14ac:dyDescent="0.3">
      <c r="A18" t="s">
        <v>8</v>
      </c>
      <c r="B18">
        <v>1000</v>
      </c>
      <c r="C18">
        <v>10</v>
      </c>
      <c r="D18">
        <v>970</v>
      </c>
      <c r="E18">
        <v>970</v>
      </c>
      <c r="F18">
        <v>970</v>
      </c>
      <c r="G18" t="s">
        <v>39</v>
      </c>
      <c r="H18">
        <f t="shared" si="0"/>
        <v>2.5446414947508998E-3</v>
      </c>
    </row>
    <row r="19" spans="1:8" x14ac:dyDescent="0.3">
      <c r="A19" t="s">
        <v>8</v>
      </c>
      <c r="B19">
        <v>1000</v>
      </c>
      <c r="C19">
        <v>15</v>
      </c>
      <c r="D19">
        <v>970</v>
      </c>
      <c r="E19">
        <v>970</v>
      </c>
      <c r="F19">
        <v>970</v>
      </c>
      <c r="G19" t="s">
        <v>41</v>
      </c>
      <c r="H19">
        <f t="shared" si="0"/>
        <v>3.1938552856445E-3</v>
      </c>
    </row>
    <row r="20" spans="1:8" x14ac:dyDescent="0.3">
      <c r="A20" t="s">
        <v>8</v>
      </c>
      <c r="B20">
        <v>1000</v>
      </c>
      <c r="C20">
        <v>20</v>
      </c>
      <c r="D20">
        <v>970</v>
      </c>
      <c r="E20">
        <v>943</v>
      </c>
      <c r="F20">
        <v>887</v>
      </c>
      <c r="G20" t="s">
        <v>43</v>
      </c>
      <c r="H20">
        <f t="shared" si="0"/>
        <v>6.6700935363769503E-2</v>
      </c>
    </row>
    <row r="21" spans="1:8" x14ac:dyDescent="0.3">
      <c r="A21" t="s">
        <v>8</v>
      </c>
      <c r="B21">
        <v>1000</v>
      </c>
      <c r="C21">
        <v>5</v>
      </c>
      <c r="D21">
        <v>970</v>
      </c>
      <c r="E21">
        <v>970</v>
      </c>
      <c r="F21">
        <v>970</v>
      </c>
      <c r="G21" t="s">
        <v>45</v>
      </c>
      <c r="H21">
        <f t="shared" si="0"/>
        <v>8.2931041717529297E-2</v>
      </c>
    </row>
    <row r="22" spans="1:8" x14ac:dyDescent="0.3">
      <c r="A22" t="s">
        <v>8</v>
      </c>
      <c r="B22">
        <v>100</v>
      </c>
      <c r="C22">
        <v>1</v>
      </c>
      <c r="D22">
        <v>970</v>
      </c>
      <c r="E22">
        <v>970</v>
      </c>
      <c r="F22">
        <v>970</v>
      </c>
      <c r="G22" t="s">
        <v>47</v>
      </c>
      <c r="H22">
        <f t="shared" si="0"/>
        <v>5.9912204742430999E-3</v>
      </c>
    </row>
    <row r="23" spans="1:8" x14ac:dyDescent="0.3">
      <c r="A23" t="s">
        <v>8</v>
      </c>
      <c r="B23">
        <v>100</v>
      </c>
      <c r="C23">
        <v>10</v>
      </c>
      <c r="D23">
        <v>970</v>
      </c>
      <c r="E23">
        <v>970</v>
      </c>
      <c r="F23">
        <v>970</v>
      </c>
      <c r="G23" t="s">
        <v>11</v>
      </c>
      <c r="H23">
        <f t="shared" si="0"/>
        <v>0</v>
      </c>
    </row>
    <row r="24" spans="1:8" x14ac:dyDescent="0.3">
      <c r="A24" t="s">
        <v>8</v>
      </c>
      <c r="B24">
        <v>100</v>
      </c>
      <c r="C24">
        <v>15</v>
      </c>
      <c r="D24">
        <v>970</v>
      </c>
      <c r="E24">
        <v>970</v>
      </c>
      <c r="F24">
        <v>970</v>
      </c>
      <c r="G24" t="s">
        <v>50</v>
      </c>
      <c r="H24">
        <f t="shared" si="0"/>
        <v>1.2164115905761001E-3</v>
      </c>
    </row>
    <row r="25" spans="1:8" x14ac:dyDescent="0.3">
      <c r="A25" t="s">
        <v>8</v>
      </c>
      <c r="B25">
        <v>100</v>
      </c>
      <c r="C25">
        <v>20</v>
      </c>
      <c r="D25">
        <v>970</v>
      </c>
      <c r="E25">
        <v>970</v>
      </c>
      <c r="F25">
        <v>970</v>
      </c>
      <c r="G25" t="s">
        <v>52</v>
      </c>
      <c r="H25">
        <f t="shared" si="0"/>
        <v>9.9301338195800001E-4</v>
      </c>
    </row>
    <row r="26" spans="1:8" x14ac:dyDescent="0.3">
      <c r="A26" t="s">
        <v>8</v>
      </c>
      <c r="B26">
        <v>100</v>
      </c>
      <c r="C26">
        <v>5</v>
      </c>
      <c r="D26">
        <v>970</v>
      </c>
      <c r="E26">
        <v>970</v>
      </c>
      <c r="F26">
        <v>970</v>
      </c>
      <c r="G26" t="s">
        <v>54</v>
      </c>
      <c r="H26">
        <f t="shared" si="0"/>
        <v>6.0231685638426997E-3</v>
      </c>
    </row>
    <row r="27" spans="1:8" x14ac:dyDescent="0.3">
      <c r="A27" t="s">
        <v>8</v>
      </c>
      <c r="B27">
        <v>500000</v>
      </c>
      <c r="C27">
        <v>1</v>
      </c>
      <c r="D27">
        <v>970</v>
      </c>
      <c r="E27">
        <v>970</v>
      </c>
      <c r="F27">
        <v>970</v>
      </c>
      <c r="G27" t="s">
        <v>56</v>
      </c>
      <c r="H27">
        <f t="shared" si="0"/>
        <v>25.204922676086401</v>
      </c>
    </row>
    <row r="28" spans="1:8" x14ac:dyDescent="0.3">
      <c r="A28" t="s">
        <v>8</v>
      </c>
      <c r="B28">
        <v>500000</v>
      </c>
      <c r="C28">
        <v>10</v>
      </c>
      <c r="D28">
        <v>970</v>
      </c>
      <c r="E28">
        <v>970</v>
      </c>
      <c r="F28">
        <v>970</v>
      </c>
      <c r="G28" t="s">
        <v>58</v>
      </c>
      <c r="H28">
        <f t="shared" si="0"/>
        <v>1.0476112365721999E-3</v>
      </c>
    </row>
    <row r="29" spans="1:8" x14ac:dyDescent="0.3">
      <c r="A29" t="s">
        <v>8</v>
      </c>
      <c r="B29">
        <v>500000</v>
      </c>
      <c r="C29">
        <v>15</v>
      </c>
      <c r="D29">
        <v>970</v>
      </c>
      <c r="E29">
        <v>970</v>
      </c>
      <c r="F29">
        <v>970</v>
      </c>
      <c r="G29" t="s">
        <v>60</v>
      </c>
      <c r="H29">
        <f t="shared" si="0"/>
        <v>3.7882328033447001E-3</v>
      </c>
    </row>
    <row r="30" spans="1:8" x14ac:dyDescent="0.3">
      <c r="A30" t="s">
        <v>8</v>
      </c>
      <c r="B30">
        <v>500000</v>
      </c>
      <c r="C30">
        <v>20</v>
      </c>
      <c r="D30">
        <v>970</v>
      </c>
      <c r="E30">
        <v>970</v>
      </c>
      <c r="F30">
        <v>970</v>
      </c>
      <c r="G30" t="s">
        <v>62</v>
      </c>
      <c r="H30">
        <f t="shared" si="0"/>
        <v>2.1235942840575998E-3</v>
      </c>
    </row>
    <row r="31" spans="1:8" x14ac:dyDescent="0.3">
      <c r="A31" t="s">
        <v>8</v>
      </c>
      <c r="B31">
        <v>500000</v>
      </c>
      <c r="C31">
        <v>5</v>
      </c>
      <c r="D31">
        <v>970</v>
      </c>
      <c r="E31">
        <v>970</v>
      </c>
      <c r="F31">
        <v>970</v>
      </c>
      <c r="G31" t="s">
        <v>64</v>
      </c>
      <c r="H31">
        <f t="shared" si="0"/>
        <v>1.9843578338622999E-3</v>
      </c>
    </row>
    <row r="32" spans="1:8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66</v>
      </c>
      <c r="H32">
        <f t="shared" si="0"/>
        <v>3.9399929046630802</v>
      </c>
    </row>
    <row r="33" spans="1:8" x14ac:dyDescent="0.3">
      <c r="A33" t="s">
        <v>8</v>
      </c>
      <c r="B33">
        <v>50000</v>
      </c>
      <c r="C33">
        <v>10</v>
      </c>
      <c r="D33">
        <v>970</v>
      </c>
      <c r="E33">
        <v>970</v>
      </c>
      <c r="F33">
        <v>970</v>
      </c>
      <c r="G33" t="s">
        <v>68</v>
      </c>
      <c r="H33">
        <f t="shared" si="0"/>
        <v>1.5130043029785E-3</v>
      </c>
    </row>
    <row r="34" spans="1:8" x14ac:dyDescent="0.3">
      <c r="A34" t="s">
        <v>8</v>
      </c>
      <c r="B34">
        <v>50000</v>
      </c>
      <c r="C34">
        <v>15</v>
      </c>
      <c r="D34">
        <v>970</v>
      </c>
      <c r="E34">
        <v>970</v>
      </c>
      <c r="F34">
        <v>970</v>
      </c>
      <c r="G34" t="s">
        <v>70</v>
      </c>
      <c r="H34">
        <f t="shared" si="0"/>
        <v>1.1842250823974E-3</v>
      </c>
    </row>
    <row r="35" spans="1:8" x14ac:dyDescent="0.3">
      <c r="A35" t="s">
        <v>8</v>
      </c>
      <c r="B35">
        <v>50000</v>
      </c>
      <c r="C35">
        <v>20</v>
      </c>
      <c r="D35">
        <v>970</v>
      </c>
      <c r="E35">
        <v>970</v>
      </c>
      <c r="F35">
        <v>970</v>
      </c>
      <c r="G35" t="s">
        <v>72</v>
      </c>
      <c r="H35">
        <f t="shared" si="0"/>
        <v>1.0817050933836999E-3</v>
      </c>
    </row>
    <row r="36" spans="1:8" x14ac:dyDescent="0.3">
      <c r="A36" t="s">
        <v>8</v>
      </c>
      <c r="B36">
        <v>50000</v>
      </c>
      <c r="C36">
        <v>5</v>
      </c>
      <c r="D36">
        <v>970</v>
      </c>
      <c r="E36">
        <v>970</v>
      </c>
      <c r="F36">
        <v>970</v>
      </c>
      <c r="G36" t="s">
        <v>74</v>
      </c>
      <c r="H36">
        <f t="shared" si="0"/>
        <v>2.3431270122528001</v>
      </c>
    </row>
    <row r="37" spans="1:8" x14ac:dyDescent="0.3">
      <c r="A37" t="s">
        <v>8</v>
      </c>
      <c r="B37">
        <v>5000</v>
      </c>
      <c r="C37">
        <v>1</v>
      </c>
      <c r="D37">
        <v>970</v>
      </c>
      <c r="E37">
        <v>955</v>
      </c>
      <c r="F37">
        <v>773</v>
      </c>
      <c r="G37" t="s">
        <v>76</v>
      </c>
      <c r="H37">
        <f t="shared" si="0"/>
        <v>0.28904294967651301</v>
      </c>
    </row>
    <row r="38" spans="1:8" x14ac:dyDescent="0.3">
      <c r="A38" t="s">
        <v>8</v>
      </c>
      <c r="B38">
        <v>5000</v>
      </c>
      <c r="C38">
        <v>10</v>
      </c>
      <c r="D38">
        <v>970</v>
      </c>
      <c r="E38">
        <v>970</v>
      </c>
      <c r="F38">
        <v>970</v>
      </c>
      <c r="G38" t="s">
        <v>11</v>
      </c>
      <c r="H38">
        <f t="shared" si="0"/>
        <v>0</v>
      </c>
    </row>
    <row r="39" spans="1:8" x14ac:dyDescent="0.3">
      <c r="A39" t="s">
        <v>8</v>
      </c>
      <c r="B39">
        <v>5000</v>
      </c>
      <c r="C39">
        <v>15</v>
      </c>
      <c r="D39">
        <v>970</v>
      </c>
      <c r="E39">
        <v>970</v>
      </c>
      <c r="F39">
        <v>970</v>
      </c>
      <c r="G39" t="s">
        <v>79</v>
      </c>
      <c r="H39">
        <f t="shared" si="0"/>
        <v>1.0185241699218E-3</v>
      </c>
    </row>
    <row r="40" spans="1:8" x14ac:dyDescent="0.3">
      <c r="A40" t="s">
        <v>8</v>
      </c>
      <c r="B40">
        <v>5000</v>
      </c>
      <c r="C40">
        <v>20</v>
      </c>
      <c r="D40">
        <v>970</v>
      </c>
      <c r="E40">
        <v>970</v>
      </c>
      <c r="F40">
        <v>970</v>
      </c>
      <c r="G40" t="s">
        <v>81</v>
      </c>
      <c r="H40">
        <f t="shared" si="0"/>
        <v>2.4068355560302001E-3</v>
      </c>
    </row>
    <row r="41" spans="1:8" x14ac:dyDescent="0.3">
      <c r="A41" t="s">
        <v>8</v>
      </c>
      <c r="B41">
        <v>5000</v>
      </c>
      <c r="C41">
        <v>5</v>
      </c>
      <c r="D41">
        <v>970</v>
      </c>
      <c r="E41">
        <v>970</v>
      </c>
      <c r="F41">
        <v>970</v>
      </c>
      <c r="G41" t="s">
        <v>83</v>
      </c>
      <c r="H41">
        <f t="shared" si="0"/>
        <v>1.0056495666503E-3</v>
      </c>
    </row>
    <row r="42" spans="1:8" x14ac:dyDescent="0.3">
      <c r="A42" t="s">
        <v>8</v>
      </c>
      <c r="B42">
        <v>500</v>
      </c>
      <c r="C42">
        <v>1</v>
      </c>
      <c r="D42">
        <v>970</v>
      </c>
      <c r="E42">
        <v>955</v>
      </c>
      <c r="F42">
        <v>773</v>
      </c>
      <c r="G42" t="s">
        <v>85</v>
      </c>
      <c r="H42">
        <f t="shared" si="0"/>
        <v>2.2163867950439401E-2</v>
      </c>
    </row>
    <row r="43" spans="1:8" x14ac:dyDescent="0.3">
      <c r="A43" t="s">
        <v>8</v>
      </c>
      <c r="B43">
        <v>500</v>
      </c>
      <c r="C43">
        <v>10</v>
      </c>
      <c r="D43">
        <v>970</v>
      </c>
      <c r="E43">
        <v>970</v>
      </c>
      <c r="F43">
        <v>970</v>
      </c>
      <c r="G43" t="s">
        <v>87</v>
      </c>
      <c r="H43">
        <f t="shared" si="0"/>
        <v>3.3472537994384703E-2</v>
      </c>
    </row>
    <row r="44" spans="1:8" x14ac:dyDescent="0.3">
      <c r="A44" t="s">
        <v>8</v>
      </c>
      <c r="B44">
        <v>500</v>
      </c>
      <c r="C44">
        <v>15</v>
      </c>
      <c r="D44">
        <v>970</v>
      </c>
      <c r="E44">
        <v>970</v>
      </c>
      <c r="F44">
        <v>970</v>
      </c>
      <c r="G44" t="s">
        <v>89</v>
      </c>
      <c r="H44">
        <f t="shared" si="0"/>
        <v>1.0435581207275E-3</v>
      </c>
    </row>
    <row r="45" spans="1:8" x14ac:dyDescent="0.3">
      <c r="A45" t="s">
        <v>8</v>
      </c>
      <c r="B45">
        <v>500</v>
      </c>
      <c r="C45">
        <v>20</v>
      </c>
      <c r="D45">
        <v>970</v>
      </c>
      <c r="E45">
        <v>970</v>
      </c>
      <c r="F45">
        <v>970</v>
      </c>
      <c r="G45" t="s">
        <v>91</v>
      </c>
      <c r="H45">
        <f t="shared" si="0"/>
        <v>4.2078495025634002E-3</v>
      </c>
    </row>
    <row r="46" spans="1:8" x14ac:dyDescent="0.3">
      <c r="A46" t="s">
        <v>8</v>
      </c>
      <c r="B46">
        <v>500</v>
      </c>
      <c r="C46">
        <v>5</v>
      </c>
      <c r="D46">
        <v>970</v>
      </c>
      <c r="E46">
        <v>970</v>
      </c>
      <c r="F46">
        <v>970</v>
      </c>
      <c r="G46" t="s">
        <v>11</v>
      </c>
      <c r="H46">
        <f t="shared" si="0"/>
        <v>0</v>
      </c>
    </row>
    <row r="47" spans="1:8" x14ac:dyDescent="0.3">
      <c r="A47" t="s">
        <v>8</v>
      </c>
      <c r="B47">
        <v>50</v>
      </c>
      <c r="C47">
        <v>1</v>
      </c>
      <c r="D47">
        <v>970</v>
      </c>
      <c r="E47">
        <v>951</v>
      </c>
      <c r="F47">
        <v>811</v>
      </c>
      <c r="G47" t="s">
        <v>94</v>
      </c>
      <c r="H47">
        <f t="shared" si="0"/>
        <v>2.3968696594238201E-2</v>
      </c>
    </row>
    <row r="48" spans="1:8" x14ac:dyDescent="0.3">
      <c r="A48" t="s">
        <v>8</v>
      </c>
      <c r="B48">
        <v>50</v>
      </c>
      <c r="C48">
        <v>10</v>
      </c>
      <c r="D48">
        <v>970</v>
      </c>
      <c r="E48">
        <v>970</v>
      </c>
      <c r="F48">
        <v>970</v>
      </c>
      <c r="G48" t="s">
        <v>11</v>
      </c>
      <c r="H48">
        <f t="shared" si="0"/>
        <v>0</v>
      </c>
    </row>
    <row r="49" spans="1:8" x14ac:dyDescent="0.3">
      <c r="A49" t="s">
        <v>8</v>
      </c>
      <c r="B49">
        <v>50</v>
      </c>
      <c r="C49">
        <v>15</v>
      </c>
      <c r="D49">
        <v>970</v>
      </c>
      <c r="E49">
        <v>970</v>
      </c>
      <c r="F49">
        <v>970</v>
      </c>
      <c r="G49" t="s">
        <v>97</v>
      </c>
      <c r="H49">
        <f t="shared" si="0"/>
        <v>1.0437965393066001E-3</v>
      </c>
    </row>
    <row r="50" spans="1:8" x14ac:dyDescent="0.3">
      <c r="A50" t="s">
        <v>8</v>
      </c>
      <c r="B50">
        <v>50</v>
      </c>
      <c r="C50">
        <v>20</v>
      </c>
      <c r="D50">
        <v>970</v>
      </c>
      <c r="E50">
        <v>970</v>
      </c>
      <c r="F50">
        <v>970</v>
      </c>
      <c r="G50" t="s">
        <v>11</v>
      </c>
      <c r="H50">
        <f t="shared" si="0"/>
        <v>0</v>
      </c>
    </row>
    <row r="51" spans="1:8" x14ac:dyDescent="0.3">
      <c r="A51" t="s">
        <v>8</v>
      </c>
      <c r="B51">
        <v>50</v>
      </c>
      <c r="C51">
        <v>5</v>
      </c>
      <c r="D51">
        <v>970</v>
      </c>
      <c r="E51">
        <v>970</v>
      </c>
      <c r="F51">
        <v>970</v>
      </c>
      <c r="G51" t="s">
        <v>100</v>
      </c>
      <c r="H51">
        <f t="shared" si="0"/>
        <v>1.0702610015869E-3</v>
      </c>
    </row>
    <row r="52" spans="1:8" x14ac:dyDescent="0.3">
      <c r="A52" t="s">
        <v>210</v>
      </c>
      <c r="B52">
        <v>1000000</v>
      </c>
      <c r="C52">
        <v>1</v>
      </c>
      <c r="D52">
        <v>970</v>
      </c>
      <c r="E52">
        <v>960</v>
      </c>
      <c r="F52">
        <v>1560</v>
      </c>
      <c r="G52" t="s">
        <v>211</v>
      </c>
      <c r="H52">
        <f t="shared" si="0"/>
        <v>32.5255672931671</v>
      </c>
    </row>
    <row r="53" spans="1:8" x14ac:dyDescent="0.3">
      <c r="A53" t="s">
        <v>210</v>
      </c>
      <c r="B53">
        <v>1000000</v>
      </c>
      <c r="C53">
        <v>10</v>
      </c>
      <c r="D53">
        <v>970</v>
      </c>
      <c r="E53">
        <v>969</v>
      </c>
      <c r="F53">
        <v>1989</v>
      </c>
      <c r="G53" t="s">
        <v>213</v>
      </c>
      <c r="H53">
        <f>IF(ISNUMBER(G53), G53, SUBSTITUTE(G53, ".", ",")*1)</f>
        <v>32.902185440063398</v>
      </c>
    </row>
    <row r="54" spans="1:8" x14ac:dyDescent="0.3">
      <c r="A54" t="s">
        <v>210</v>
      </c>
      <c r="B54">
        <v>1000000</v>
      </c>
      <c r="C54">
        <v>15</v>
      </c>
      <c r="D54">
        <v>970</v>
      </c>
      <c r="E54">
        <v>969</v>
      </c>
      <c r="F54">
        <v>1989</v>
      </c>
      <c r="G54" t="s">
        <v>215</v>
      </c>
      <c r="H54">
        <f t="shared" si="0"/>
        <v>34.493696451187098</v>
      </c>
    </row>
    <row r="55" spans="1:8" x14ac:dyDescent="0.3">
      <c r="A55" t="s">
        <v>210</v>
      </c>
      <c r="B55">
        <v>1000000</v>
      </c>
      <c r="C55">
        <v>20</v>
      </c>
      <c r="D55">
        <v>970</v>
      </c>
      <c r="E55">
        <v>969</v>
      </c>
      <c r="F55">
        <v>1989</v>
      </c>
      <c r="G55" t="s">
        <v>217</v>
      </c>
      <c r="H55">
        <f t="shared" si="0"/>
        <v>33.525494337081902</v>
      </c>
    </row>
    <row r="56" spans="1:8" x14ac:dyDescent="0.3">
      <c r="A56" t="s">
        <v>210</v>
      </c>
      <c r="B56">
        <v>1000000</v>
      </c>
      <c r="C56">
        <v>5</v>
      </c>
      <c r="D56">
        <v>970</v>
      </c>
      <c r="E56">
        <v>956</v>
      </c>
      <c r="F56">
        <v>1716</v>
      </c>
      <c r="G56" t="s">
        <v>219</v>
      </c>
      <c r="H56">
        <f t="shared" si="0"/>
        <v>28.6639854907989</v>
      </c>
    </row>
    <row r="57" spans="1:8" x14ac:dyDescent="0.3">
      <c r="A57" t="s">
        <v>210</v>
      </c>
      <c r="B57">
        <v>100000</v>
      </c>
      <c r="C57">
        <v>1</v>
      </c>
      <c r="D57">
        <v>970</v>
      </c>
      <c r="E57">
        <v>954</v>
      </c>
      <c r="F57">
        <v>1794</v>
      </c>
      <c r="G57" t="s">
        <v>221</v>
      </c>
      <c r="H57">
        <f t="shared" si="0"/>
        <v>2.9671339988708398</v>
      </c>
    </row>
    <row r="58" spans="1:8" x14ac:dyDescent="0.3">
      <c r="A58" t="s">
        <v>210</v>
      </c>
      <c r="B58">
        <v>100000</v>
      </c>
      <c r="C58">
        <v>10</v>
      </c>
      <c r="D58">
        <v>970</v>
      </c>
      <c r="E58">
        <v>954</v>
      </c>
      <c r="F58">
        <v>1794</v>
      </c>
      <c r="G58" t="s">
        <v>223</v>
      </c>
      <c r="H58">
        <f t="shared" si="0"/>
        <v>3.2131130695343</v>
      </c>
    </row>
    <row r="59" spans="1:8" x14ac:dyDescent="0.3">
      <c r="A59" t="s">
        <v>210</v>
      </c>
      <c r="B59">
        <v>100000</v>
      </c>
      <c r="C59">
        <v>15</v>
      </c>
      <c r="D59">
        <v>970</v>
      </c>
      <c r="E59">
        <v>969</v>
      </c>
      <c r="F59">
        <v>1989</v>
      </c>
      <c r="G59" t="s">
        <v>225</v>
      </c>
      <c r="H59">
        <f t="shared" si="0"/>
        <v>3.6141803264617902</v>
      </c>
    </row>
    <row r="60" spans="1:8" x14ac:dyDescent="0.3">
      <c r="A60" t="s">
        <v>210</v>
      </c>
      <c r="B60">
        <v>100000</v>
      </c>
      <c r="C60">
        <v>20</v>
      </c>
      <c r="D60">
        <v>970</v>
      </c>
      <c r="E60">
        <v>969</v>
      </c>
      <c r="F60">
        <v>1989</v>
      </c>
      <c r="G60" t="s">
        <v>227</v>
      </c>
      <c r="H60">
        <f t="shared" si="0"/>
        <v>3.5173413753509499</v>
      </c>
    </row>
    <row r="61" spans="1:8" x14ac:dyDescent="0.3">
      <c r="A61" t="s">
        <v>210</v>
      </c>
      <c r="B61">
        <v>100000</v>
      </c>
      <c r="C61">
        <v>5</v>
      </c>
      <c r="D61">
        <v>970</v>
      </c>
      <c r="E61">
        <v>969</v>
      </c>
      <c r="F61">
        <v>1989</v>
      </c>
      <c r="G61" t="s">
        <v>229</v>
      </c>
      <c r="H61">
        <f t="shared" si="0"/>
        <v>3.6816494464874201</v>
      </c>
    </row>
    <row r="62" spans="1:8" x14ac:dyDescent="0.3">
      <c r="A62" t="s">
        <v>210</v>
      </c>
      <c r="B62">
        <v>10000</v>
      </c>
      <c r="C62">
        <v>1</v>
      </c>
      <c r="D62">
        <v>970</v>
      </c>
      <c r="E62">
        <v>969</v>
      </c>
      <c r="F62">
        <v>1989</v>
      </c>
      <c r="G62" t="s">
        <v>231</v>
      </c>
      <c r="H62">
        <f t="shared" si="0"/>
        <v>0.32379484176635698</v>
      </c>
    </row>
    <row r="63" spans="1:8" x14ac:dyDescent="0.3">
      <c r="A63" t="s">
        <v>210</v>
      </c>
      <c r="B63">
        <v>10000</v>
      </c>
      <c r="C63">
        <v>10</v>
      </c>
      <c r="D63">
        <v>970</v>
      </c>
      <c r="E63">
        <v>956</v>
      </c>
      <c r="F63">
        <v>1716</v>
      </c>
      <c r="G63" t="s">
        <v>233</v>
      </c>
      <c r="H63">
        <f t="shared" si="0"/>
        <v>0.34864592552184998</v>
      </c>
    </row>
    <row r="64" spans="1:8" x14ac:dyDescent="0.3">
      <c r="A64" t="s">
        <v>210</v>
      </c>
      <c r="B64">
        <v>10000</v>
      </c>
      <c r="C64">
        <v>15</v>
      </c>
      <c r="D64">
        <v>970</v>
      </c>
      <c r="E64">
        <v>958</v>
      </c>
      <c r="F64">
        <v>1638</v>
      </c>
      <c r="G64" t="s">
        <v>235</v>
      </c>
      <c r="H64">
        <f t="shared" si="0"/>
        <v>0.36672568321228</v>
      </c>
    </row>
    <row r="65" spans="1:8" x14ac:dyDescent="0.3">
      <c r="A65" t="s">
        <v>210</v>
      </c>
      <c r="B65">
        <v>10000</v>
      </c>
      <c r="C65">
        <v>20</v>
      </c>
      <c r="D65">
        <v>970</v>
      </c>
      <c r="E65">
        <v>956</v>
      </c>
      <c r="F65">
        <v>1716</v>
      </c>
      <c r="G65" t="s">
        <v>237</v>
      </c>
      <c r="H65">
        <f t="shared" si="0"/>
        <v>0.33221459388732899</v>
      </c>
    </row>
    <row r="66" spans="1:8" x14ac:dyDescent="0.3">
      <c r="A66" t="s">
        <v>210</v>
      </c>
      <c r="B66">
        <v>10000</v>
      </c>
      <c r="C66">
        <v>5</v>
      </c>
      <c r="D66">
        <v>970</v>
      </c>
      <c r="E66">
        <v>969</v>
      </c>
      <c r="F66">
        <v>1989</v>
      </c>
      <c r="G66" t="s">
        <v>239</v>
      </c>
      <c r="H66">
        <f t="shared" si="0"/>
        <v>0.32562375068664501</v>
      </c>
    </row>
    <row r="67" spans="1:8" x14ac:dyDescent="0.3">
      <c r="A67" t="s">
        <v>210</v>
      </c>
      <c r="B67">
        <v>1000</v>
      </c>
      <c r="C67">
        <v>1</v>
      </c>
      <c r="D67">
        <v>970</v>
      </c>
      <c r="E67">
        <v>969</v>
      </c>
      <c r="F67">
        <v>1989</v>
      </c>
      <c r="G67" t="s">
        <v>241</v>
      </c>
      <c r="H67">
        <f t="shared" ref="H67:H101" si="1">IF(ISNUMBER(G67), G67, SUBSTITUTE(G67, ".", ",")*1)</f>
        <v>3.1969547271728502E-2</v>
      </c>
    </row>
    <row r="68" spans="1:8" x14ac:dyDescent="0.3">
      <c r="A68" t="s">
        <v>210</v>
      </c>
      <c r="B68">
        <v>1000</v>
      </c>
      <c r="C68">
        <v>10</v>
      </c>
      <c r="D68">
        <v>970</v>
      </c>
      <c r="E68">
        <v>969</v>
      </c>
      <c r="F68">
        <v>1989</v>
      </c>
      <c r="G68" t="s">
        <v>243</v>
      </c>
      <c r="H68">
        <f t="shared" si="1"/>
        <v>4.05163764953613E-2</v>
      </c>
    </row>
    <row r="69" spans="1:8" x14ac:dyDescent="0.3">
      <c r="A69" t="s">
        <v>210</v>
      </c>
      <c r="B69">
        <v>1000</v>
      </c>
      <c r="C69">
        <v>15</v>
      </c>
      <c r="D69">
        <v>970</v>
      </c>
      <c r="E69">
        <v>969</v>
      </c>
      <c r="F69">
        <v>1989</v>
      </c>
      <c r="G69" t="s">
        <v>245</v>
      </c>
      <c r="H69">
        <f t="shared" si="1"/>
        <v>3.5041332244872998E-2</v>
      </c>
    </row>
    <row r="70" spans="1:8" x14ac:dyDescent="0.3">
      <c r="A70" t="s">
        <v>210</v>
      </c>
      <c r="B70">
        <v>1000</v>
      </c>
      <c r="C70">
        <v>20</v>
      </c>
      <c r="D70">
        <v>970</v>
      </c>
      <c r="E70">
        <v>969</v>
      </c>
      <c r="F70">
        <v>1989</v>
      </c>
      <c r="G70" t="s">
        <v>247</v>
      </c>
      <c r="H70">
        <f t="shared" si="1"/>
        <v>3.4157276153564398E-2</v>
      </c>
    </row>
    <row r="71" spans="1:8" x14ac:dyDescent="0.3">
      <c r="A71" t="s">
        <v>210</v>
      </c>
      <c r="B71">
        <v>1000</v>
      </c>
      <c r="C71">
        <v>5</v>
      </c>
      <c r="D71">
        <v>970</v>
      </c>
      <c r="E71">
        <v>969</v>
      </c>
      <c r="F71">
        <v>1989</v>
      </c>
      <c r="G71" t="s">
        <v>249</v>
      </c>
      <c r="H71">
        <f t="shared" si="1"/>
        <v>3.2000541687011698E-2</v>
      </c>
    </row>
    <row r="72" spans="1:8" x14ac:dyDescent="0.3">
      <c r="A72" t="s">
        <v>210</v>
      </c>
      <c r="B72">
        <v>100</v>
      </c>
      <c r="C72">
        <v>1</v>
      </c>
      <c r="D72">
        <v>970</v>
      </c>
      <c r="E72">
        <v>969</v>
      </c>
      <c r="F72">
        <v>1989</v>
      </c>
      <c r="G72" t="s">
        <v>251</v>
      </c>
      <c r="H72">
        <f t="shared" si="1"/>
        <v>3.0357837677000999E-3</v>
      </c>
    </row>
    <row r="73" spans="1:8" x14ac:dyDescent="0.3">
      <c r="A73" t="s">
        <v>210</v>
      </c>
      <c r="B73">
        <v>100</v>
      </c>
      <c r="C73">
        <v>10</v>
      </c>
      <c r="D73">
        <v>970</v>
      </c>
      <c r="E73">
        <v>969</v>
      </c>
      <c r="F73">
        <v>1989</v>
      </c>
      <c r="G73" t="s">
        <v>251</v>
      </c>
      <c r="H73">
        <f t="shared" si="1"/>
        <v>3.0357837677000999E-3</v>
      </c>
    </row>
    <row r="74" spans="1:8" x14ac:dyDescent="0.3">
      <c r="A74" t="s">
        <v>210</v>
      </c>
      <c r="B74">
        <v>100</v>
      </c>
      <c r="C74">
        <v>15</v>
      </c>
      <c r="D74">
        <v>970</v>
      </c>
      <c r="E74">
        <v>969</v>
      </c>
      <c r="F74">
        <v>1989</v>
      </c>
      <c r="G74" t="s">
        <v>254</v>
      </c>
      <c r="H74">
        <f t="shared" si="1"/>
        <v>3.9627552032470001E-3</v>
      </c>
    </row>
    <row r="75" spans="1:8" x14ac:dyDescent="0.3">
      <c r="A75" t="s">
        <v>210</v>
      </c>
      <c r="B75">
        <v>100</v>
      </c>
      <c r="C75">
        <v>20</v>
      </c>
      <c r="D75">
        <v>970</v>
      </c>
      <c r="E75">
        <v>969</v>
      </c>
      <c r="F75">
        <v>1989</v>
      </c>
      <c r="G75" t="s">
        <v>256</v>
      </c>
      <c r="H75">
        <f t="shared" si="1"/>
        <v>3.9992332458495998E-3</v>
      </c>
    </row>
    <row r="76" spans="1:8" x14ac:dyDescent="0.3">
      <c r="A76" t="s">
        <v>210</v>
      </c>
      <c r="B76">
        <v>100</v>
      </c>
      <c r="C76">
        <v>5</v>
      </c>
      <c r="D76">
        <v>970</v>
      </c>
      <c r="E76">
        <v>969</v>
      </c>
      <c r="F76">
        <v>1989</v>
      </c>
      <c r="G76" t="s">
        <v>258</v>
      </c>
      <c r="H76">
        <f t="shared" si="1"/>
        <v>2.9983520507812001E-3</v>
      </c>
    </row>
    <row r="77" spans="1:8" x14ac:dyDescent="0.3">
      <c r="A77" t="s">
        <v>210</v>
      </c>
      <c r="B77">
        <v>500000</v>
      </c>
      <c r="C77">
        <v>1</v>
      </c>
      <c r="D77">
        <v>970</v>
      </c>
      <c r="E77">
        <v>969</v>
      </c>
      <c r="F77">
        <v>1989</v>
      </c>
      <c r="G77" t="s">
        <v>260</v>
      </c>
      <c r="H77">
        <f t="shared" si="1"/>
        <v>18.6424462795257</v>
      </c>
    </row>
    <row r="78" spans="1:8" x14ac:dyDescent="0.3">
      <c r="A78" t="s">
        <v>210</v>
      </c>
      <c r="B78">
        <v>500000</v>
      </c>
      <c r="C78">
        <v>10</v>
      </c>
      <c r="D78">
        <v>970</v>
      </c>
      <c r="E78">
        <v>969</v>
      </c>
      <c r="F78">
        <v>1989</v>
      </c>
      <c r="G78" t="s">
        <v>262</v>
      </c>
      <c r="H78">
        <f t="shared" si="1"/>
        <v>17.758221149444498</v>
      </c>
    </row>
    <row r="79" spans="1:8" x14ac:dyDescent="0.3">
      <c r="A79" t="s">
        <v>210</v>
      </c>
      <c r="B79">
        <v>500000</v>
      </c>
      <c r="C79">
        <v>15</v>
      </c>
      <c r="D79">
        <v>970</v>
      </c>
      <c r="E79">
        <v>969</v>
      </c>
      <c r="F79">
        <v>1989</v>
      </c>
      <c r="G79" t="s">
        <v>264</v>
      </c>
      <c r="H79">
        <f t="shared" si="1"/>
        <v>22.0190734863281</v>
      </c>
    </row>
    <row r="80" spans="1:8" x14ac:dyDescent="0.3">
      <c r="A80" t="s">
        <v>210</v>
      </c>
      <c r="B80">
        <v>500000</v>
      </c>
      <c r="C80">
        <v>20</v>
      </c>
      <c r="D80">
        <v>970</v>
      </c>
      <c r="E80">
        <v>969</v>
      </c>
      <c r="F80">
        <v>1989</v>
      </c>
      <c r="G80" t="s">
        <v>266</v>
      </c>
      <c r="H80">
        <f t="shared" si="1"/>
        <v>23.3975076675415</v>
      </c>
    </row>
    <row r="81" spans="1:8" x14ac:dyDescent="0.3">
      <c r="A81" t="s">
        <v>210</v>
      </c>
      <c r="B81">
        <v>500000</v>
      </c>
      <c r="C81">
        <v>5</v>
      </c>
      <c r="D81">
        <v>970</v>
      </c>
      <c r="E81">
        <v>960</v>
      </c>
      <c r="F81">
        <v>1560</v>
      </c>
      <c r="G81" t="s">
        <v>268</v>
      </c>
      <c r="H81">
        <f t="shared" si="1"/>
        <v>15.385166645050001</v>
      </c>
    </row>
    <row r="82" spans="1:8" x14ac:dyDescent="0.3">
      <c r="A82" t="s">
        <v>210</v>
      </c>
      <c r="B82">
        <v>50000</v>
      </c>
      <c r="C82">
        <v>1</v>
      </c>
      <c r="D82">
        <v>970</v>
      </c>
      <c r="E82">
        <v>956</v>
      </c>
      <c r="F82">
        <v>1716</v>
      </c>
      <c r="G82" t="s">
        <v>270</v>
      </c>
      <c r="H82">
        <f t="shared" si="1"/>
        <v>1.4735131263732899</v>
      </c>
    </row>
    <row r="83" spans="1:8" x14ac:dyDescent="0.3">
      <c r="A83" t="s">
        <v>210</v>
      </c>
      <c r="B83">
        <v>50000</v>
      </c>
      <c r="C83">
        <v>10</v>
      </c>
      <c r="D83">
        <v>970</v>
      </c>
      <c r="E83">
        <v>956</v>
      </c>
      <c r="F83">
        <v>1716</v>
      </c>
      <c r="G83" t="s">
        <v>272</v>
      </c>
      <c r="H83">
        <f t="shared" si="1"/>
        <v>1.6426265239715501</v>
      </c>
    </row>
    <row r="84" spans="1:8" x14ac:dyDescent="0.3">
      <c r="A84" t="s">
        <v>210</v>
      </c>
      <c r="B84">
        <v>50000</v>
      </c>
      <c r="C84">
        <v>15</v>
      </c>
      <c r="D84">
        <v>970</v>
      </c>
      <c r="E84">
        <v>969</v>
      </c>
      <c r="F84">
        <v>1989</v>
      </c>
      <c r="G84" t="s">
        <v>274</v>
      </c>
      <c r="H84">
        <f t="shared" si="1"/>
        <v>1.62289810180664</v>
      </c>
    </row>
    <row r="85" spans="1:8" x14ac:dyDescent="0.3">
      <c r="A85" t="s">
        <v>210</v>
      </c>
      <c r="B85">
        <v>50000</v>
      </c>
      <c r="C85">
        <v>20</v>
      </c>
      <c r="D85">
        <v>970</v>
      </c>
      <c r="E85">
        <v>969</v>
      </c>
      <c r="F85">
        <v>1989</v>
      </c>
      <c r="G85" t="s">
        <v>276</v>
      </c>
      <c r="H85">
        <f t="shared" si="1"/>
        <v>1.76220154762268</v>
      </c>
    </row>
    <row r="86" spans="1:8" x14ac:dyDescent="0.3">
      <c r="A86" t="s">
        <v>210</v>
      </c>
      <c r="B86">
        <v>50000</v>
      </c>
      <c r="C86">
        <v>5</v>
      </c>
      <c r="D86">
        <v>970</v>
      </c>
      <c r="E86">
        <v>969</v>
      </c>
      <c r="F86">
        <v>1989</v>
      </c>
      <c r="G86" t="s">
        <v>278</v>
      </c>
      <c r="H86">
        <f t="shared" si="1"/>
        <v>1.6156044006347601</v>
      </c>
    </row>
    <row r="87" spans="1:8" x14ac:dyDescent="0.3">
      <c r="A87" t="s">
        <v>210</v>
      </c>
      <c r="B87">
        <v>5000</v>
      </c>
      <c r="C87">
        <v>1</v>
      </c>
      <c r="D87">
        <v>970</v>
      </c>
      <c r="E87">
        <v>954</v>
      </c>
      <c r="F87">
        <v>1794</v>
      </c>
      <c r="G87" t="s">
        <v>280</v>
      </c>
      <c r="H87">
        <f t="shared" si="1"/>
        <v>0.15204524993896401</v>
      </c>
    </row>
    <row r="88" spans="1:8" x14ac:dyDescent="0.3">
      <c r="A88" t="s">
        <v>210</v>
      </c>
      <c r="B88">
        <v>5000</v>
      </c>
      <c r="C88">
        <v>10</v>
      </c>
      <c r="D88">
        <v>970</v>
      </c>
      <c r="E88">
        <v>956</v>
      </c>
      <c r="F88">
        <v>1716</v>
      </c>
      <c r="G88" t="s">
        <v>282</v>
      </c>
      <c r="H88">
        <f t="shared" si="1"/>
        <v>0.15699195861816401</v>
      </c>
    </row>
    <row r="89" spans="1:8" x14ac:dyDescent="0.3">
      <c r="A89" t="s">
        <v>210</v>
      </c>
      <c r="B89">
        <v>5000</v>
      </c>
      <c r="C89">
        <v>15</v>
      </c>
      <c r="D89">
        <v>970</v>
      </c>
      <c r="E89">
        <v>958</v>
      </c>
      <c r="F89">
        <v>1638</v>
      </c>
      <c r="G89" t="s">
        <v>284</v>
      </c>
      <c r="H89">
        <f t="shared" si="1"/>
        <v>0.166736364364624</v>
      </c>
    </row>
    <row r="90" spans="1:8" x14ac:dyDescent="0.3">
      <c r="A90" t="s">
        <v>210</v>
      </c>
      <c r="B90">
        <v>5000</v>
      </c>
      <c r="C90">
        <v>20</v>
      </c>
      <c r="D90">
        <v>970</v>
      </c>
      <c r="E90">
        <v>969</v>
      </c>
      <c r="F90">
        <v>1989</v>
      </c>
      <c r="G90" t="s">
        <v>286</v>
      </c>
      <c r="H90">
        <f t="shared" si="1"/>
        <v>0.186152458190917</v>
      </c>
    </row>
    <row r="91" spans="1:8" x14ac:dyDescent="0.3">
      <c r="A91" t="s">
        <v>210</v>
      </c>
      <c r="B91">
        <v>5000</v>
      </c>
      <c r="C91">
        <v>5</v>
      </c>
      <c r="D91">
        <v>970</v>
      </c>
      <c r="E91">
        <v>969</v>
      </c>
      <c r="F91">
        <v>1989</v>
      </c>
      <c r="G91" t="s">
        <v>288</v>
      </c>
      <c r="H91">
        <f t="shared" si="1"/>
        <v>0.15722084045410101</v>
      </c>
    </row>
    <row r="92" spans="1:8" x14ac:dyDescent="0.3">
      <c r="A92" t="s">
        <v>210</v>
      </c>
      <c r="B92">
        <v>500</v>
      </c>
      <c r="C92">
        <v>1</v>
      </c>
      <c r="D92">
        <v>970</v>
      </c>
      <c r="E92">
        <v>956</v>
      </c>
      <c r="F92">
        <v>1716</v>
      </c>
      <c r="G92" t="s">
        <v>290</v>
      </c>
      <c r="H92">
        <f t="shared" si="1"/>
        <v>1.9966125488281201E-2</v>
      </c>
    </row>
    <row r="93" spans="1:8" x14ac:dyDescent="0.3">
      <c r="A93" t="s">
        <v>210</v>
      </c>
      <c r="B93">
        <v>500</v>
      </c>
      <c r="C93">
        <v>10</v>
      </c>
      <c r="D93">
        <v>970</v>
      </c>
      <c r="E93">
        <v>969</v>
      </c>
      <c r="F93">
        <v>1989</v>
      </c>
      <c r="G93" t="s">
        <v>292</v>
      </c>
      <c r="H93">
        <f t="shared" si="1"/>
        <v>1.5983581542968701E-2</v>
      </c>
    </row>
    <row r="94" spans="1:8" x14ac:dyDescent="0.3">
      <c r="A94" t="s">
        <v>210</v>
      </c>
      <c r="B94">
        <v>500</v>
      </c>
      <c r="C94">
        <v>15</v>
      </c>
      <c r="D94">
        <v>970</v>
      </c>
      <c r="E94">
        <v>958</v>
      </c>
      <c r="F94">
        <v>1638</v>
      </c>
      <c r="G94" t="s">
        <v>294</v>
      </c>
      <c r="H94">
        <f t="shared" si="1"/>
        <v>1.5033960342407201E-2</v>
      </c>
    </row>
    <row r="95" spans="1:8" x14ac:dyDescent="0.3">
      <c r="A95" t="s">
        <v>210</v>
      </c>
      <c r="B95">
        <v>500</v>
      </c>
      <c r="C95">
        <v>20</v>
      </c>
      <c r="D95">
        <v>970</v>
      </c>
      <c r="E95">
        <v>958</v>
      </c>
      <c r="F95">
        <v>1638</v>
      </c>
      <c r="G95" t="s">
        <v>296</v>
      </c>
      <c r="H95">
        <f t="shared" si="1"/>
        <v>1.8403768539428701E-2</v>
      </c>
    </row>
    <row r="96" spans="1:8" x14ac:dyDescent="0.3">
      <c r="A96" t="s">
        <v>210</v>
      </c>
      <c r="B96">
        <v>500</v>
      </c>
      <c r="C96">
        <v>5</v>
      </c>
      <c r="D96">
        <v>970</v>
      </c>
      <c r="E96">
        <v>969</v>
      </c>
      <c r="F96">
        <v>1989</v>
      </c>
      <c r="G96" t="s">
        <v>298</v>
      </c>
      <c r="H96">
        <f t="shared" si="1"/>
        <v>1.87957286834716E-2</v>
      </c>
    </row>
    <row r="97" spans="1:8" x14ac:dyDescent="0.3">
      <c r="A97" t="s">
        <v>210</v>
      </c>
      <c r="B97">
        <v>50</v>
      </c>
      <c r="C97">
        <v>1</v>
      </c>
      <c r="D97">
        <v>970</v>
      </c>
      <c r="E97">
        <v>958</v>
      </c>
      <c r="F97">
        <v>1638</v>
      </c>
      <c r="G97" t="s">
        <v>300</v>
      </c>
      <c r="H97">
        <f t="shared" si="1"/>
        <v>1.9991397857665998E-3</v>
      </c>
    </row>
    <row r="98" spans="1:8" x14ac:dyDescent="0.3">
      <c r="A98" t="s">
        <v>210</v>
      </c>
      <c r="B98">
        <v>50</v>
      </c>
      <c r="C98">
        <v>10</v>
      </c>
      <c r="D98">
        <v>970</v>
      </c>
      <c r="E98">
        <v>969</v>
      </c>
      <c r="F98">
        <v>1989</v>
      </c>
      <c r="G98" t="s">
        <v>302</v>
      </c>
      <c r="H98">
        <f t="shared" si="1"/>
        <v>2.0153522491455E-3</v>
      </c>
    </row>
    <row r="99" spans="1:8" x14ac:dyDescent="0.3">
      <c r="A99" t="s">
        <v>210</v>
      </c>
      <c r="B99">
        <v>50</v>
      </c>
      <c r="C99">
        <v>15</v>
      </c>
      <c r="D99">
        <v>970</v>
      </c>
      <c r="E99">
        <v>958</v>
      </c>
      <c r="F99">
        <v>1638</v>
      </c>
      <c r="G99" t="s">
        <v>304</v>
      </c>
      <c r="H99">
        <f t="shared" si="1"/>
        <v>2.0334720611572001E-3</v>
      </c>
    </row>
    <row r="100" spans="1:8" x14ac:dyDescent="0.3">
      <c r="A100" t="s">
        <v>210</v>
      </c>
      <c r="B100">
        <v>50</v>
      </c>
      <c r="C100">
        <v>20</v>
      </c>
      <c r="D100">
        <v>970</v>
      </c>
      <c r="E100">
        <v>969</v>
      </c>
      <c r="F100">
        <v>1989</v>
      </c>
      <c r="G100" t="s">
        <v>306</v>
      </c>
      <c r="H100">
        <f t="shared" si="1"/>
        <v>2.0322799682617001E-3</v>
      </c>
    </row>
    <row r="101" spans="1:8" x14ac:dyDescent="0.3">
      <c r="A101" t="s">
        <v>210</v>
      </c>
      <c r="B101">
        <v>50</v>
      </c>
      <c r="C101">
        <v>5</v>
      </c>
      <c r="D101">
        <v>970</v>
      </c>
      <c r="E101">
        <v>960</v>
      </c>
      <c r="F101">
        <v>1560</v>
      </c>
      <c r="G101" t="s">
        <v>308</v>
      </c>
      <c r="H101">
        <f t="shared" si="1"/>
        <v>2.0039081573485999E-3</v>
      </c>
    </row>
    <row r="102" spans="1:8" x14ac:dyDescent="0.3">
      <c r="A102" t="s">
        <v>411</v>
      </c>
      <c r="B102">
        <v>1000000</v>
      </c>
      <c r="C102">
        <v>1</v>
      </c>
      <c r="D102">
        <v>997</v>
      </c>
      <c r="E102">
        <v>997</v>
      </c>
      <c r="F102">
        <v>1002</v>
      </c>
      <c r="G102" t="s">
        <v>412</v>
      </c>
      <c r="H102">
        <f>IF(ISNUMBER(G102), G102, SUBSTITUTE(G102, ".", ",")*1)</f>
        <v>19.119575262069699</v>
      </c>
    </row>
    <row r="103" spans="1:8" x14ac:dyDescent="0.3">
      <c r="A103" t="s">
        <v>411</v>
      </c>
      <c r="B103">
        <v>1000000</v>
      </c>
      <c r="C103">
        <v>10</v>
      </c>
      <c r="D103">
        <v>997</v>
      </c>
      <c r="E103">
        <v>996</v>
      </c>
      <c r="F103">
        <v>1002</v>
      </c>
      <c r="G103" t="s">
        <v>414</v>
      </c>
      <c r="H103">
        <f t="shared" ref="H103:H151" si="2">IF(ISNUMBER(G103), G103, SUBSTITUTE(G103, ".", ",")*1)</f>
        <v>9.6917152404779995E-4</v>
      </c>
    </row>
    <row r="104" spans="1:8" x14ac:dyDescent="0.3">
      <c r="A104" t="s">
        <v>411</v>
      </c>
      <c r="B104">
        <v>1000000</v>
      </c>
      <c r="C104">
        <v>15</v>
      </c>
      <c r="D104">
        <v>997</v>
      </c>
      <c r="E104">
        <v>997</v>
      </c>
      <c r="F104">
        <v>1005</v>
      </c>
      <c r="G104" t="s">
        <v>416</v>
      </c>
      <c r="H104">
        <f t="shared" si="2"/>
        <v>1.9989013671875E-3</v>
      </c>
    </row>
    <row r="105" spans="1:8" x14ac:dyDescent="0.3">
      <c r="A105" t="s">
        <v>411</v>
      </c>
      <c r="B105">
        <v>1000000</v>
      </c>
      <c r="C105">
        <v>20</v>
      </c>
      <c r="D105">
        <v>997</v>
      </c>
      <c r="E105">
        <v>997</v>
      </c>
      <c r="F105">
        <v>999</v>
      </c>
      <c r="G105" t="s">
        <v>418</v>
      </c>
      <c r="H105">
        <f t="shared" si="2"/>
        <v>1.0018348693846999E-3</v>
      </c>
    </row>
    <row r="106" spans="1:8" x14ac:dyDescent="0.3">
      <c r="A106" t="s">
        <v>411</v>
      </c>
      <c r="B106">
        <v>1000000</v>
      </c>
      <c r="C106">
        <v>5</v>
      </c>
      <c r="D106">
        <v>997</v>
      </c>
      <c r="E106">
        <v>997</v>
      </c>
      <c r="F106">
        <v>1002</v>
      </c>
      <c r="G106" t="s">
        <v>420</v>
      </c>
      <c r="H106">
        <f t="shared" si="2"/>
        <v>23.432671546936</v>
      </c>
    </row>
    <row r="107" spans="1:8" x14ac:dyDescent="0.3">
      <c r="A107" t="s">
        <v>411</v>
      </c>
      <c r="B107">
        <v>100000</v>
      </c>
      <c r="C107">
        <v>1</v>
      </c>
      <c r="D107">
        <v>997</v>
      </c>
      <c r="E107">
        <v>997</v>
      </c>
      <c r="F107">
        <v>1002</v>
      </c>
      <c r="G107" t="s">
        <v>422</v>
      </c>
      <c r="H107">
        <f t="shared" si="2"/>
        <v>1.9012548923492401</v>
      </c>
    </row>
    <row r="108" spans="1:8" x14ac:dyDescent="0.3">
      <c r="A108" t="s">
        <v>411</v>
      </c>
      <c r="B108">
        <v>100000</v>
      </c>
      <c r="C108">
        <v>10</v>
      </c>
      <c r="D108">
        <v>997</v>
      </c>
      <c r="E108">
        <v>997</v>
      </c>
      <c r="F108">
        <v>1002</v>
      </c>
      <c r="G108" t="s">
        <v>424</v>
      </c>
      <c r="H108">
        <f t="shared" si="2"/>
        <v>1.0004043579101001E-3</v>
      </c>
    </row>
    <row r="109" spans="1:8" x14ac:dyDescent="0.3">
      <c r="A109" t="s">
        <v>411</v>
      </c>
      <c r="B109">
        <v>100000</v>
      </c>
      <c r="C109">
        <v>15</v>
      </c>
      <c r="D109">
        <v>997</v>
      </c>
      <c r="E109">
        <v>997</v>
      </c>
      <c r="F109">
        <v>1002</v>
      </c>
      <c r="G109" t="s">
        <v>426</v>
      </c>
      <c r="H109">
        <f t="shared" si="2"/>
        <v>2.5131247043609601</v>
      </c>
    </row>
    <row r="110" spans="1:8" x14ac:dyDescent="0.3">
      <c r="A110" t="s">
        <v>411</v>
      </c>
      <c r="B110">
        <v>100000</v>
      </c>
      <c r="C110">
        <v>20</v>
      </c>
      <c r="D110">
        <v>997</v>
      </c>
      <c r="E110">
        <v>996</v>
      </c>
      <c r="F110">
        <v>1005</v>
      </c>
      <c r="G110" t="s">
        <v>428</v>
      </c>
      <c r="H110">
        <f t="shared" si="2"/>
        <v>2.3696627616882302</v>
      </c>
    </row>
    <row r="111" spans="1:8" x14ac:dyDescent="0.3">
      <c r="A111" t="s">
        <v>411</v>
      </c>
      <c r="B111">
        <v>100000</v>
      </c>
      <c r="C111">
        <v>5</v>
      </c>
      <c r="D111">
        <v>997</v>
      </c>
      <c r="E111">
        <v>993</v>
      </c>
      <c r="F111">
        <v>999</v>
      </c>
      <c r="G111" t="s">
        <v>430</v>
      </c>
      <c r="H111">
        <f t="shared" si="2"/>
        <v>2.1761944293975799</v>
      </c>
    </row>
    <row r="112" spans="1:8" x14ac:dyDescent="0.3">
      <c r="A112" t="s">
        <v>411</v>
      </c>
      <c r="B112">
        <v>10000</v>
      </c>
      <c r="C112">
        <v>1</v>
      </c>
      <c r="D112">
        <v>997</v>
      </c>
      <c r="E112">
        <v>995</v>
      </c>
      <c r="F112">
        <v>999</v>
      </c>
      <c r="G112" t="s">
        <v>432</v>
      </c>
      <c r="H112">
        <f t="shared" si="2"/>
        <v>0.20918869972229001</v>
      </c>
    </row>
    <row r="113" spans="1:8" x14ac:dyDescent="0.3">
      <c r="A113" t="s">
        <v>411</v>
      </c>
      <c r="B113">
        <v>10000</v>
      </c>
      <c r="C113">
        <v>10</v>
      </c>
      <c r="D113">
        <v>997</v>
      </c>
      <c r="E113">
        <v>997</v>
      </c>
      <c r="F113">
        <v>1002</v>
      </c>
      <c r="G113" t="s">
        <v>434</v>
      </c>
      <c r="H113">
        <f t="shared" si="2"/>
        <v>0.23622465133666901</v>
      </c>
    </row>
    <row r="114" spans="1:8" x14ac:dyDescent="0.3">
      <c r="A114" t="s">
        <v>411</v>
      </c>
      <c r="B114">
        <v>10000</v>
      </c>
      <c r="C114">
        <v>15</v>
      </c>
      <c r="D114">
        <v>997</v>
      </c>
      <c r="E114">
        <v>997</v>
      </c>
      <c r="F114">
        <v>1002</v>
      </c>
      <c r="G114" t="s">
        <v>436</v>
      </c>
      <c r="H114">
        <f t="shared" si="2"/>
        <v>9.6797943115229995E-4</v>
      </c>
    </row>
    <row r="115" spans="1:8" x14ac:dyDescent="0.3">
      <c r="A115" t="s">
        <v>411</v>
      </c>
      <c r="B115">
        <v>10000</v>
      </c>
      <c r="C115">
        <v>20</v>
      </c>
      <c r="D115">
        <v>997</v>
      </c>
      <c r="E115">
        <v>996</v>
      </c>
      <c r="F115">
        <v>1002</v>
      </c>
      <c r="G115" t="s">
        <v>438</v>
      </c>
      <c r="H115">
        <f t="shared" si="2"/>
        <v>9.9635124206539998E-4</v>
      </c>
    </row>
    <row r="116" spans="1:8" x14ac:dyDescent="0.3">
      <c r="A116" t="s">
        <v>411</v>
      </c>
      <c r="B116">
        <v>10000</v>
      </c>
      <c r="C116">
        <v>5</v>
      </c>
      <c r="D116">
        <v>997</v>
      </c>
      <c r="E116">
        <v>997</v>
      </c>
      <c r="F116">
        <v>1002</v>
      </c>
      <c r="G116" t="s">
        <v>440</v>
      </c>
      <c r="H116">
        <f t="shared" si="2"/>
        <v>0.28456330299377403</v>
      </c>
    </row>
    <row r="117" spans="1:8" x14ac:dyDescent="0.3">
      <c r="A117" t="s">
        <v>411</v>
      </c>
      <c r="B117">
        <v>1000</v>
      </c>
      <c r="C117">
        <v>1</v>
      </c>
      <c r="D117">
        <v>997</v>
      </c>
      <c r="E117">
        <v>997</v>
      </c>
      <c r="F117">
        <v>1008</v>
      </c>
      <c r="G117" t="s">
        <v>442</v>
      </c>
      <c r="H117">
        <f t="shared" si="2"/>
        <v>2.3031949996948201E-2</v>
      </c>
    </row>
    <row r="118" spans="1:8" x14ac:dyDescent="0.3">
      <c r="A118" t="s">
        <v>411</v>
      </c>
      <c r="B118">
        <v>1000</v>
      </c>
      <c r="C118">
        <v>10</v>
      </c>
      <c r="D118">
        <v>997</v>
      </c>
      <c r="E118">
        <v>997</v>
      </c>
      <c r="F118">
        <v>1002</v>
      </c>
      <c r="G118" t="s">
        <v>444</v>
      </c>
      <c r="H118">
        <f t="shared" si="2"/>
        <v>2.3999214172363201E-2</v>
      </c>
    </row>
    <row r="119" spans="1:8" x14ac:dyDescent="0.3">
      <c r="A119" t="s">
        <v>411</v>
      </c>
      <c r="B119">
        <v>1000</v>
      </c>
      <c r="C119">
        <v>15</v>
      </c>
      <c r="D119">
        <v>997</v>
      </c>
      <c r="E119">
        <v>997</v>
      </c>
      <c r="F119">
        <v>1002</v>
      </c>
      <c r="G119" t="s">
        <v>446</v>
      </c>
      <c r="H119">
        <f t="shared" si="2"/>
        <v>1.0032653808593E-3</v>
      </c>
    </row>
    <row r="120" spans="1:8" x14ac:dyDescent="0.3">
      <c r="A120" t="s">
        <v>411</v>
      </c>
      <c r="B120">
        <v>1000</v>
      </c>
      <c r="C120">
        <v>20</v>
      </c>
      <c r="D120">
        <v>997</v>
      </c>
      <c r="E120">
        <v>997</v>
      </c>
      <c r="F120">
        <v>1002</v>
      </c>
      <c r="G120" t="s">
        <v>11</v>
      </c>
      <c r="H120">
        <f t="shared" si="2"/>
        <v>0</v>
      </c>
    </row>
    <row r="121" spans="1:8" x14ac:dyDescent="0.3">
      <c r="A121" t="s">
        <v>411</v>
      </c>
      <c r="B121">
        <v>1000</v>
      </c>
      <c r="C121">
        <v>5</v>
      </c>
      <c r="D121">
        <v>997</v>
      </c>
      <c r="E121">
        <v>995</v>
      </c>
      <c r="F121">
        <v>1002</v>
      </c>
      <c r="G121" t="s">
        <v>449</v>
      </c>
      <c r="H121">
        <f t="shared" si="2"/>
        <v>2.3160934448242101E-2</v>
      </c>
    </row>
    <row r="122" spans="1:8" x14ac:dyDescent="0.3">
      <c r="A122" t="s">
        <v>411</v>
      </c>
      <c r="B122">
        <v>100</v>
      </c>
      <c r="C122">
        <v>1</v>
      </c>
      <c r="D122">
        <v>997</v>
      </c>
      <c r="E122">
        <v>995</v>
      </c>
      <c r="F122">
        <v>1002</v>
      </c>
      <c r="G122" t="s">
        <v>451</v>
      </c>
      <c r="H122">
        <f t="shared" si="2"/>
        <v>3.0345916748045999E-3</v>
      </c>
    </row>
    <row r="123" spans="1:8" x14ac:dyDescent="0.3">
      <c r="A123" t="s">
        <v>411</v>
      </c>
      <c r="B123">
        <v>100</v>
      </c>
      <c r="C123">
        <v>10</v>
      </c>
      <c r="D123">
        <v>997</v>
      </c>
      <c r="E123">
        <v>997</v>
      </c>
      <c r="F123">
        <v>1002</v>
      </c>
      <c r="G123" t="s">
        <v>453</v>
      </c>
      <c r="H123">
        <f t="shared" si="2"/>
        <v>1.9981861114500999E-3</v>
      </c>
    </row>
    <row r="124" spans="1:8" x14ac:dyDescent="0.3">
      <c r="A124" t="s">
        <v>411</v>
      </c>
      <c r="B124">
        <v>100</v>
      </c>
      <c r="C124">
        <v>15</v>
      </c>
      <c r="D124">
        <v>997</v>
      </c>
      <c r="E124">
        <v>996</v>
      </c>
      <c r="F124">
        <v>1002</v>
      </c>
      <c r="G124" t="s">
        <v>455</v>
      </c>
      <c r="H124">
        <f t="shared" si="2"/>
        <v>4.0004253387450998E-3</v>
      </c>
    </row>
    <row r="125" spans="1:8" x14ac:dyDescent="0.3">
      <c r="A125" t="s">
        <v>411</v>
      </c>
      <c r="B125">
        <v>100</v>
      </c>
      <c r="C125">
        <v>20</v>
      </c>
      <c r="D125">
        <v>997</v>
      </c>
      <c r="E125">
        <v>997</v>
      </c>
      <c r="F125">
        <v>1002</v>
      </c>
      <c r="G125" t="s">
        <v>457</v>
      </c>
      <c r="H125">
        <f t="shared" si="2"/>
        <v>1.0011196136474E-3</v>
      </c>
    </row>
    <row r="126" spans="1:8" x14ac:dyDescent="0.3">
      <c r="A126" t="s">
        <v>411</v>
      </c>
      <c r="B126">
        <v>100</v>
      </c>
      <c r="C126">
        <v>5</v>
      </c>
      <c r="D126">
        <v>997</v>
      </c>
      <c r="E126">
        <v>997</v>
      </c>
      <c r="F126">
        <v>1005</v>
      </c>
      <c r="G126" t="s">
        <v>459</v>
      </c>
      <c r="H126">
        <f t="shared" si="2"/>
        <v>3.0016899108885999E-3</v>
      </c>
    </row>
    <row r="127" spans="1:8" x14ac:dyDescent="0.3">
      <c r="A127" t="s">
        <v>411</v>
      </c>
      <c r="B127">
        <v>500000</v>
      </c>
      <c r="C127">
        <v>1</v>
      </c>
      <c r="D127">
        <v>997</v>
      </c>
      <c r="E127">
        <v>997</v>
      </c>
      <c r="F127">
        <v>1002</v>
      </c>
      <c r="G127" t="s">
        <v>461</v>
      </c>
      <c r="H127">
        <f t="shared" si="2"/>
        <v>12.264229536056501</v>
      </c>
    </row>
    <row r="128" spans="1:8" x14ac:dyDescent="0.3">
      <c r="A128" t="s">
        <v>411</v>
      </c>
      <c r="B128">
        <v>500000</v>
      </c>
      <c r="C128">
        <v>10</v>
      </c>
      <c r="D128">
        <v>997</v>
      </c>
      <c r="E128">
        <v>997</v>
      </c>
      <c r="F128">
        <v>1005</v>
      </c>
      <c r="G128" t="s">
        <v>463</v>
      </c>
      <c r="H128">
        <f t="shared" si="2"/>
        <v>12.321033954620299</v>
      </c>
    </row>
    <row r="129" spans="1:8" x14ac:dyDescent="0.3">
      <c r="A129" t="s">
        <v>411</v>
      </c>
      <c r="B129">
        <v>500000</v>
      </c>
      <c r="C129">
        <v>15</v>
      </c>
      <c r="D129">
        <v>997</v>
      </c>
      <c r="E129">
        <v>996</v>
      </c>
      <c r="F129">
        <v>999</v>
      </c>
      <c r="G129" t="s">
        <v>465</v>
      </c>
      <c r="H129">
        <f t="shared" si="2"/>
        <v>9.7298622131340002E-4</v>
      </c>
    </row>
    <row r="130" spans="1:8" x14ac:dyDescent="0.3">
      <c r="A130" t="s">
        <v>411</v>
      </c>
      <c r="B130">
        <v>500000</v>
      </c>
      <c r="C130">
        <v>20</v>
      </c>
      <c r="D130">
        <v>997</v>
      </c>
      <c r="E130">
        <v>997</v>
      </c>
      <c r="F130">
        <v>1002</v>
      </c>
      <c r="G130" t="s">
        <v>467</v>
      </c>
      <c r="H130">
        <f t="shared" si="2"/>
        <v>2.0327568054199002E-3</v>
      </c>
    </row>
    <row r="131" spans="1:8" x14ac:dyDescent="0.3">
      <c r="A131" t="s">
        <v>411</v>
      </c>
      <c r="B131">
        <v>500000</v>
      </c>
      <c r="C131">
        <v>5</v>
      </c>
      <c r="D131">
        <v>997</v>
      </c>
      <c r="E131">
        <v>996</v>
      </c>
      <c r="F131">
        <v>1002</v>
      </c>
      <c r="G131" t="s">
        <v>469</v>
      </c>
      <c r="H131">
        <f t="shared" si="2"/>
        <v>12.3816685676574</v>
      </c>
    </row>
    <row r="132" spans="1:8" x14ac:dyDescent="0.3">
      <c r="A132" t="s">
        <v>411</v>
      </c>
      <c r="B132">
        <v>50000</v>
      </c>
      <c r="C132">
        <v>1</v>
      </c>
      <c r="D132">
        <v>997</v>
      </c>
      <c r="E132">
        <v>996</v>
      </c>
      <c r="F132">
        <v>1002</v>
      </c>
      <c r="G132" t="s">
        <v>471</v>
      </c>
      <c r="H132">
        <f t="shared" si="2"/>
        <v>0.99103164672851496</v>
      </c>
    </row>
    <row r="133" spans="1:8" x14ac:dyDescent="0.3">
      <c r="A133" t="s">
        <v>411</v>
      </c>
      <c r="B133">
        <v>50000</v>
      </c>
      <c r="C133">
        <v>10</v>
      </c>
      <c r="D133">
        <v>997</v>
      </c>
      <c r="E133">
        <v>997</v>
      </c>
      <c r="F133">
        <v>1002</v>
      </c>
      <c r="G133" t="s">
        <v>473</v>
      </c>
      <c r="H133">
        <f t="shared" si="2"/>
        <v>1.32693886756896</v>
      </c>
    </row>
    <row r="134" spans="1:8" x14ac:dyDescent="0.3">
      <c r="A134" t="s">
        <v>411</v>
      </c>
      <c r="B134">
        <v>50000</v>
      </c>
      <c r="C134">
        <v>15</v>
      </c>
      <c r="D134">
        <v>997</v>
      </c>
      <c r="E134">
        <v>997</v>
      </c>
      <c r="F134">
        <v>999</v>
      </c>
      <c r="G134" t="s">
        <v>11</v>
      </c>
      <c r="H134">
        <f t="shared" si="2"/>
        <v>0</v>
      </c>
    </row>
    <row r="135" spans="1:8" x14ac:dyDescent="0.3">
      <c r="A135" t="s">
        <v>411</v>
      </c>
      <c r="B135">
        <v>50000</v>
      </c>
      <c r="C135">
        <v>20</v>
      </c>
      <c r="D135">
        <v>997</v>
      </c>
      <c r="E135">
        <v>994</v>
      </c>
      <c r="F135">
        <v>1002</v>
      </c>
      <c r="G135" t="s">
        <v>476</v>
      </c>
      <c r="H135">
        <f t="shared" si="2"/>
        <v>1.0085105895996001E-3</v>
      </c>
    </row>
    <row r="136" spans="1:8" x14ac:dyDescent="0.3">
      <c r="A136" t="s">
        <v>411</v>
      </c>
      <c r="B136">
        <v>50000</v>
      </c>
      <c r="C136">
        <v>5</v>
      </c>
      <c r="D136">
        <v>997</v>
      </c>
      <c r="E136">
        <v>996</v>
      </c>
      <c r="F136">
        <v>1002</v>
      </c>
      <c r="G136" t="s">
        <v>478</v>
      </c>
      <c r="H136">
        <f t="shared" si="2"/>
        <v>1.40893650054931</v>
      </c>
    </row>
    <row r="137" spans="1:8" x14ac:dyDescent="0.3">
      <c r="A137" t="s">
        <v>411</v>
      </c>
      <c r="B137">
        <v>5000</v>
      </c>
      <c r="C137">
        <v>1</v>
      </c>
      <c r="D137">
        <v>997</v>
      </c>
      <c r="E137">
        <v>997</v>
      </c>
      <c r="F137">
        <v>1002</v>
      </c>
      <c r="G137" t="s">
        <v>480</v>
      </c>
      <c r="H137">
        <f t="shared" si="2"/>
        <v>0.10659146308898899</v>
      </c>
    </row>
    <row r="138" spans="1:8" x14ac:dyDescent="0.3">
      <c r="A138" t="s">
        <v>411</v>
      </c>
      <c r="B138">
        <v>5000</v>
      </c>
      <c r="C138">
        <v>10</v>
      </c>
      <c r="D138">
        <v>997</v>
      </c>
      <c r="E138">
        <v>997</v>
      </c>
      <c r="F138">
        <v>1002</v>
      </c>
      <c r="G138" t="s">
        <v>482</v>
      </c>
      <c r="H138">
        <f t="shared" si="2"/>
        <v>9.5915794372549996E-4</v>
      </c>
    </row>
    <row r="139" spans="1:8" x14ac:dyDescent="0.3">
      <c r="A139" t="s">
        <v>411</v>
      </c>
      <c r="B139">
        <v>5000</v>
      </c>
      <c r="C139">
        <v>15</v>
      </c>
      <c r="D139">
        <v>997</v>
      </c>
      <c r="E139">
        <v>997</v>
      </c>
      <c r="F139">
        <v>1002</v>
      </c>
      <c r="G139" t="s">
        <v>484</v>
      </c>
      <c r="H139">
        <f t="shared" si="2"/>
        <v>9.9968910217279995E-4</v>
      </c>
    </row>
    <row r="140" spans="1:8" x14ac:dyDescent="0.3">
      <c r="A140" t="s">
        <v>411</v>
      </c>
      <c r="B140">
        <v>5000</v>
      </c>
      <c r="C140">
        <v>20</v>
      </c>
      <c r="D140">
        <v>997</v>
      </c>
      <c r="E140">
        <v>997</v>
      </c>
      <c r="F140">
        <v>1002</v>
      </c>
      <c r="G140" t="s">
        <v>486</v>
      </c>
      <c r="H140">
        <f t="shared" si="2"/>
        <v>9.6464157104489997E-4</v>
      </c>
    </row>
    <row r="141" spans="1:8" x14ac:dyDescent="0.3">
      <c r="A141" t="s">
        <v>411</v>
      </c>
      <c r="B141">
        <v>5000</v>
      </c>
      <c r="C141">
        <v>5</v>
      </c>
      <c r="D141">
        <v>997</v>
      </c>
      <c r="E141">
        <v>995</v>
      </c>
      <c r="F141">
        <v>1002</v>
      </c>
      <c r="G141" t="s">
        <v>488</v>
      </c>
      <c r="H141">
        <f t="shared" si="2"/>
        <v>0.110260248184204</v>
      </c>
    </row>
    <row r="142" spans="1:8" x14ac:dyDescent="0.3">
      <c r="A142" t="s">
        <v>411</v>
      </c>
      <c r="B142">
        <v>500</v>
      </c>
      <c r="C142">
        <v>1</v>
      </c>
      <c r="D142">
        <v>997</v>
      </c>
      <c r="E142">
        <v>997</v>
      </c>
      <c r="F142">
        <v>1002</v>
      </c>
      <c r="G142" t="s">
        <v>490</v>
      </c>
      <c r="H142">
        <f t="shared" si="2"/>
        <v>1.0104894638061499E-2</v>
      </c>
    </row>
    <row r="143" spans="1:8" x14ac:dyDescent="0.3">
      <c r="A143" t="s">
        <v>411</v>
      </c>
      <c r="B143">
        <v>500</v>
      </c>
      <c r="C143">
        <v>10</v>
      </c>
      <c r="D143">
        <v>997</v>
      </c>
      <c r="E143">
        <v>996</v>
      </c>
      <c r="F143">
        <v>1005</v>
      </c>
      <c r="G143" t="s">
        <v>492</v>
      </c>
      <c r="H143">
        <f t="shared" si="2"/>
        <v>1.21428966522216E-2</v>
      </c>
    </row>
    <row r="144" spans="1:8" x14ac:dyDescent="0.3">
      <c r="A144" t="s">
        <v>411</v>
      </c>
      <c r="B144">
        <v>500</v>
      </c>
      <c r="C144">
        <v>15</v>
      </c>
      <c r="D144">
        <v>997</v>
      </c>
      <c r="E144">
        <v>995</v>
      </c>
      <c r="F144">
        <v>1002</v>
      </c>
      <c r="G144" t="s">
        <v>438</v>
      </c>
      <c r="H144">
        <f t="shared" si="2"/>
        <v>9.9635124206539998E-4</v>
      </c>
    </row>
    <row r="145" spans="1:8" x14ac:dyDescent="0.3">
      <c r="A145" t="s">
        <v>411</v>
      </c>
      <c r="B145">
        <v>500</v>
      </c>
      <c r="C145">
        <v>20</v>
      </c>
      <c r="D145">
        <v>997</v>
      </c>
      <c r="E145">
        <v>997</v>
      </c>
      <c r="F145">
        <v>1005</v>
      </c>
      <c r="G145" t="s">
        <v>495</v>
      </c>
      <c r="H145">
        <f t="shared" si="2"/>
        <v>1.0371208190916999E-3</v>
      </c>
    </row>
    <row r="146" spans="1:8" x14ac:dyDescent="0.3">
      <c r="A146" t="s">
        <v>411</v>
      </c>
      <c r="B146">
        <v>500</v>
      </c>
      <c r="C146">
        <v>5</v>
      </c>
      <c r="D146">
        <v>997</v>
      </c>
      <c r="E146">
        <v>996</v>
      </c>
      <c r="F146">
        <v>1005</v>
      </c>
      <c r="G146" t="s">
        <v>497</v>
      </c>
      <c r="H146">
        <f t="shared" si="2"/>
        <v>1.10344886779785E-2</v>
      </c>
    </row>
    <row r="147" spans="1:8" x14ac:dyDescent="0.3">
      <c r="A147" t="s">
        <v>411</v>
      </c>
      <c r="B147">
        <v>50</v>
      </c>
      <c r="C147">
        <v>1</v>
      </c>
      <c r="D147">
        <v>997</v>
      </c>
      <c r="E147">
        <v>995</v>
      </c>
      <c r="F147">
        <v>999</v>
      </c>
      <c r="G147" t="s">
        <v>499</v>
      </c>
      <c r="H147">
        <f t="shared" si="2"/>
        <v>2.0036697387695E-3</v>
      </c>
    </row>
    <row r="148" spans="1:8" x14ac:dyDescent="0.3">
      <c r="A148" t="s">
        <v>411</v>
      </c>
      <c r="B148">
        <v>50</v>
      </c>
      <c r="C148">
        <v>10</v>
      </c>
      <c r="D148">
        <v>997</v>
      </c>
      <c r="E148">
        <v>996</v>
      </c>
      <c r="F148">
        <v>1002</v>
      </c>
      <c r="G148" t="s">
        <v>484</v>
      </c>
      <c r="H148">
        <f t="shared" si="2"/>
        <v>9.9968910217279995E-4</v>
      </c>
    </row>
    <row r="149" spans="1:8" x14ac:dyDescent="0.3">
      <c r="A149" t="s">
        <v>411</v>
      </c>
      <c r="B149">
        <v>50</v>
      </c>
      <c r="C149">
        <v>15</v>
      </c>
      <c r="D149">
        <v>997</v>
      </c>
      <c r="E149">
        <v>997</v>
      </c>
      <c r="F149">
        <v>1002</v>
      </c>
      <c r="G149" t="s">
        <v>484</v>
      </c>
      <c r="H149">
        <f t="shared" si="2"/>
        <v>9.9968910217279995E-4</v>
      </c>
    </row>
    <row r="150" spans="1:8" x14ac:dyDescent="0.3">
      <c r="A150" t="s">
        <v>411</v>
      </c>
      <c r="B150">
        <v>50</v>
      </c>
      <c r="C150">
        <v>20</v>
      </c>
      <c r="D150">
        <v>997</v>
      </c>
      <c r="E150">
        <v>997</v>
      </c>
      <c r="F150">
        <v>1005</v>
      </c>
      <c r="G150" t="s">
        <v>503</v>
      </c>
      <c r="H150">
        <f t="shared" si="2"/>
        <v>1.9998550415039002E-3</v>
      </c>
    </row>
    <row r="151" spans="1:8" x14ac:dyDescent="0.3">
      <c r="A151" t="s">
        <v>411</v>
      </c>
      <c r="B151">
        <v>50</v>
      </c>
      <c r="C151">
        <v>5</v>
      </c>
      <c r="D151">
        <v>997</v>
      </c>
      <c r="E151">
        <v>997</v>
      </c>
      <c r="F151">
        <v>1002</v>
      </c>
      <c r="G151" t="s">
        <v>505</v>
      </c>
      <c r="H151">
        <f t="shared" si="2"/>
        <v>9.9325180053710005E-4</v>
      </c>
    </row>
    <row r="160" spans="1:8" x14ac:dyDescent="0.3">
      <c r="A160" s="1" t="s">
        <v>105</v>
      </c>
      <c r="B160" t="s">
        <v>107</v>
      </c>
    </row>
    <row r="161" spans="1:2" x14ac:dyDescent="0.3">
      <c r="A161" s="2">
        <v>50</v>
      </c>
      <c r="B161" s="3">
        <v>18515</v>
      </c>
    </row>
    <row r="162" spans="1:2" x14ac:dyDescent="0.3">
      <c r="A162" s="4">
        <v>1</v>
      </c>
      <c r="B162" s="3">
        <v>3448</v>
      </c>
    </row>
    <row r="163" spans="1:2" x14ac:dyDescent="0.3">
      <c r="A163" s="4">
        <v>5</v>
      </c>
      <c r="B163" s="3">
        <v>3532</v>
      </c>
    </row>
    <row r="164" spans="1:2" x14ac:dyDescent="0.3">
      <c r="A164" s="4">
        <v>10</v>
      </c>
      <c r="B164" s="3">
        <v>3961</v>
      </c>
    </row>
    <row r="165" spans="1:2" x14ac:dyDescent="0.3">
      <c r="A165" s="4">
        <v>15</v>
      </c>
      <c r="B165" s="3">
        <v>3610</v>
      </c>
    </row>
    <row r="166" spans="1:2" x14ac:dyDescent="0.3">
      <c r="A166" s="4">
        <v>20</v>
      </c>
      <c r="B166" s="3">
        <v>3964</v>
      </c>
    </row>
    <row r="167" spans="1:2" x14ac:dyDescent="0.3">
      <c r="A167" s="2">
        <v>100</v>
      </c>
      <c r="B167" s="3">
        <v>19808</v>
      </c>
    </row>
    <row r="168" spans="1:2" x14ac:dyDescent="0.3">
      <c r="A168" s="4">
        <v>1</v>
      </c>
      <c r="B168" s="3">
        <v>3961</v>
      </c>
    </row>
    <row r="169" spans="1:2" x14ac:dyDescent="0.3">
      <c r="A169" s="4">
        <v>5</v>
      </c>
      <c r="B169" s="3">
        <v>3964</v>
      </c>
    </row>
    <row r="170" spans="1:2" x14ac:dyDescent="0.3">
      <c r="A170" s="4">
        <v>10</v>
      </c>
      <c r="B170" s="3">
        <v>3961</v>
      </c>
    </row>
    <row r="171" spans="1:2" x14ac:dyDescent="0.3">
      <c r="A171" s="4">
        <v>15</v>
      </c>
      <c r="B171" s="3">
        <v>3961</v>
      </c>
    </row>
    <row r="172" spans="1:2" x14ac:dyDescent="0.3">
      <c r="A172" s="4">
        <v>20</v>
      </c>
      <c r="B172" s="3">
        <v>3961</v>
      </c>
    </row>
    <row r="173" spans="1:2" x14ac:dyDescent="0.3">
      <c r="A173" s="2">
        <v>500</v>
      </c>
      <c r="B173" s="3">
        <v>18642</v>
      </c>
    </row>
    <row r="174" spans="1:2" x14ac:dyDescent="0.3">
      <c r="A174" s="4">
        <v>1</v>
      </c>
      <c r="B174" s="3">
        <v>3491</v>
      </c>
    </row>
    <row r="175" spans="1:2" x14ac:dyDescent="0.3">
      <c r="A175" s="4">
        <v>5</v>
      </c>
      <c r="B175" s="3">
        <v>3964</v>
      </c>
    </row>
    <row r="176" spans="1:2" x14ac:dyDescent="0.3">
      <c r="A176" s="4">
        <v>10</v>
      </c>
      <c r="B176" s="3">
        <v>3964</v>
      </c>
    </row>
    <row r="177" spans="1:2" x14ac:dyDescent="0.3">
      <c r="A177" s="4">
        <v>15</v>
      </c>
      <c r="B177" s="3">
        <v>3610</v>
      </c>
    </row>
    <row r="178" spans="1:2" x14ac:dyDescent="0.3">
      <c r="A178" s="4">
        <v>20</v>
      </c>
      <c r="B178" s="3">
        <v>3613</v>
      </c>
    </row>
    <row r="179" spans="1:2" x14ac:dyDescent="0.3">
      <c r="A179" s="2">
        <v>1000</v>
      </c>
      <c r="B179" s="3">
        <v>19607</v>
      </c>
    </row>
    <row r="180" spans="1:2" x14ac:dyDescent="0.3">
      <c r="A180" s="4">
        <v>1</v>
      </c>
      <c r="B180" s="3">
        <v>3846</v>
      </c>
    </row>
    <row r="181" spans="1:2" x14ac:dyDescent="0.3">
      <c r="A181" s="4">
        <v>5</v>
      </c>
      <c r="B181" s="3">
        <v>3961</v>
      </c>
    </row>
    <row r="182" spans="1:2" x14ac:dyDescent="0.3">
      <c r="A182" s="4">
        <v>10</v>
      </c>
      <c r="B182" s="3">
        <v>3961</v>
      </c>
    </row>
    <row r="183" spans="1:2" x14ac:dyDescent="0.3">
      <c r="A183" s="4">
        <v>15</v>
      </c>
      <c r="B183" s="3">
        <v>3961</v>
      </c>
    </row>
    <row r="184" spans="1:2" x14ac:dyDescent="0.3">
      <c r="A184" s="4">
        <v>20</v>
      </c>
      <c r="B184" s="3">
        <v>3878</v>
      </c>
    </row>
    <row r="185" spans="1:2" x14ac:dyDescent="0.3">
      <c r="A185" s="2">
        <v>5000</v>
      </c>
      <c r="B185" s="3">
        <v>18789</v>
      </c>
    </row>
    <row r="186" spans="1:2" x14ac:dyDescent="0.3">
      <c r="A186" s="4">
        <v>1</v>
      </c>
      <c r="B186" s="3">
        <v>3569</v>
      </c>
    </row>
    <row r="187" spans="1:2" x14ac:dyDescent="0.3">
      <c r="A187" s="4">
        <v>5</v>
      </c>
      <c r="B187" s="3">
        <v>3961</v>
      </c>
    </row>
    <row r="188" spans="1:2" x14ac:dyDescent="0.3">
      <c r="A188" s="4">
        <v>10</v>
      </c>
      <c r="B188" s="3">
        <v>3688</v>
      </c>
    </row>
    <row r="189" spans="1:2" x14ac:dyDescent="0.3">
      <c r="A189" s="4">
        <v>15</v>
      </c>
      <c r="B189" s="3">
        <v>3610</v>
      </c>
    </row>
    <row r="190" spans="1:2" x14ac:dyDescent="0.3">
      <c r="A190" s="4">
        <v>20</v>
      </c>
      <c r="B190" s="3">
        <v>3961</v>
      </c>
    </row>
    <row r="191" spans="1:2" x14ac:dyDescent="0.3">
      <c r="A191" s="2">
        <v>10000</v>
      </c>
      <c r="B191" s="3">
        <v>18746</v>
      </c>
    </row>
    <row r="192" spans="1:2" x14ac:dyDescent="0.3">
      <c r="A192" s="4">
        <v>1</v>
      </c>
      <c r="B192" s="3">
        <v>3799</v>
      </c>
    </row>
    <row r="193" spans="1:2" x14ac:dyDescent="0.3">
      <c r="A193" s="4">
        <v>5</v>
      </c>
      <c r="B193" s="3">
        <v>3961</v>
      </c>
    </row>
    <row r="194" spans="1:2" x14ac:dyDescent="0.3">
      <c r="A194" s="4">
        <v>10</v>
      </c>
      <c r="B194" s="3">
        <v>3688</v>
      </c>
    </row>
    <row r="195" spans="1:2" x14ac:dyDescent="0.3">
      <c r="A195" s="4">
        <v>15</v>
      </c>
      <c r="B195" s="3">
        <v>3610</v>
      </c>
    </row>
    <row r="196" spans="1:2" x14ac:dyDescent="0.3">
      <c r="A196" s="4">
        <v>20</v>
      </c>
      <c r="B196" s="3">
        <v>3688</v>
      </c>
    </row>
    <row r="197" spans="1:2" x14ac:dyDescent="0.3">
      <c r="A197" s="2">
        <v>50000</v>
      </c>
      <c r="B197" s="3">
        <v>19256</v>
      </c>
    </row>
    <row r="198" spans="1:2" x14ac:dyDescent="0.3">
      <c r="A198" s="4">
        <v>1</v>
      </c>
      <c r="B198" s="3">
        <v>3688</v>
      </c>
    </row>
    <row r="199" spans="1:2" x14ac:dyDescent="0.3">
      <c r="A199" s="4">
        <v>5</v>
      </c>
      <c r="B199" s="3">
        <v>3961</v>
      </c>
    </row>
    <row r="200" spans="1:2" x14ac:dyDescent="0.3">
      <c r="A200" s="4">
        <v>10</v>
      </c>
      <c r="B200" s="3">
        <v>3688</v>
      </c>
    </row>
    <row r="201" spans="1:2" x14ac:dyDescent="0.3">
      <c r="A201" s="4">
        <v>15</v>
      </c>
      <c r="B201" s="3">
        <v>3958</v>
      </c>
    </row>
    <row r="202" spans="1:2" x14ac:dyDescent="0.3">
      <c r="A202" s="4">
        <v>20</v>
      </c>
      <c r="B202" s="3">
        <v>3961</v>
      </c>
    </row>
    <row r="203" spans="1:2" x14ac:dyDescent="0.3">
      <c r="A203" s="2">
        <v>100000</v>
      </c>
      <c r="B203" s="3">
        <v>19415</v>
      </c>
    </row>
    <row r="204" spans="1:2" x14ac:dyDescent="0.3">
      <c r="A204" s="4">
        <v>1</v>
      </c>
      <c r="B204" s="3">
        <v>3766</v>
      </c>
    </row>
    <row r="205" spans="1:2" x14ac:dyDescent="0.3">
      <c r="A205" s="4">
        <v>5</v>
      </c>
      <c r="B205" s="3">
        <v>3958</v>
      </c>
    </row>
    <row r="206" spans="1:2" x14ac:dyDescent="0.3">
      <c r="A206" s="4">
        <v>10</v>
      </c>
      <c r="B206" s="3">
        <v>3766</v>
      </c>
    </row>
    <row r="207" spans="1:2" x14ac:dyDescent="0.3">
      <c r="A207" s="4">
        <v>15</v>
      </c>
      <c r="B207" s="3">
        <v>3961</v>
      </c>
    </row>
    <row r="208" spans="1:2" x14ac:dyDescent="0.3">
      <c r="A208" s="4">
        <v>20</v>
      </c>
      <c r="B208" s="3">
        <v>3964</v>
      </c>
    </row>
    <row r="209" spans="1:2" x14ac:dyDescent="0.3">
      <c r="A209" s="2">
        <v>500000</v>
      </c>
      <c r="B209" s="3">
        <v>19376</v>
      </c>
    </row>
    <row r="210" spans="1:2" x14ac:dyDescent="0.3">
      <c r="A210" s="4">
        <v>1</v>
      </c>
      <c r="B210" s="3">
        <v>3961</v>
      </c>
    </row>
    <row r="211" spans="1:2" x14ac:dyDescent="0.3">
      <c r="A211" s="4">
        <v>5</v>
      </c>
      <c r="B211" s="3">
        <v>3532</v>
      </c>
    </row>
    <row r="212" spans="1:2" x14ac:dyDescent="0.3">
      <c r="A212" s="4">
        <v>10</v>
      </c>
      <c r="B212" s="3">
        <v>3964</v>
      </c>
    </row>
    <row r="213" spans="1:2" x14ac:dyDescent="0.3">
      <c r="A213" s="4">
        <v>15</v>
      </c>
      <c r="B213" s="3">
        <v>3958</v>
      </c>
    </row>
    <row r="214" spans="1:2" x14ac:dyDescent="0.3">
      <c r="A214" s="4">
        <v>20</v>
      </c>
      <c r="B214" s="3">
        <v>3961</v>
      </c>
    </row>
    <row r="215" spans="1:2" x14ac:dyDescent="0.3">
      <c r="A215" s="2">
        <v>1000000</v>
      </c>
      <c r="B215" s="3">
        <v>19103</v>
      </c>
    </row>
    <row r="216" spans="1:2" x14ac:dyDescent="0.3">
      <c r="A216" s="4">
        <v>1</v>
      </c>
      <c r="B216" s="3">
        <v>3532</v>
      </c>
    </row>
    <row r="217" spans="1:2" x14ac:dyDescent="0.3">
      <c r="A217" s="4">
        <v>5</v>
      </c>
      <c r="B217" s="3">
        <v>3688</v>
      </c>
    </row>
    <row r="218" spans="1:2" x14ac:dyDescent="0.3">
      <c r="A218" s="4">
        <v>10</v>
      </c>
      <c r="B218" s="3">
        <v>3961</v>
      </c>
    </row>
    <row r="219" spans="1:2" x14ac:dyDescent="0.3">
      <c r="A219" s="4">
        <v>15</v>
      </c>
      <c r="B219" s="3">
        <v>3964</v>
      </c>
    </row>
    <row r="220" spans="1:2" x14ac:dyDescent="0.3">
      <c r="A220" s="4">
        <v>20</v>
      </c>
      <c r="B220" s="3">
        <v>3958</v>
      </c>
    </row>
    <row r="221" spans="1:2" x14ac:dyDescent="0.3">
      <c r="A221" s="2" t="s">
        <v>106</v>
      </c>
      <c r="B221" s="3">
        <v>191257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E3BA3-F4FD-46BE-9709-1FD67EB220AB}">
  <dimension ref="A1:K151"/>
  <sheetViews>
    <sheetView topLeftCell="G10" workbookViewId="0">
      <selection activeCell="J4" sqref="J4:K15"/>
    </sheetView>
  </sheetViews>
  <sheetFormatPr baseColWidth="10" defaultRowHeight="14.4" x14ac:dyDescent="0.3"/>
  <cols>
    <col min="1" max="1" width="21.77734375" bestFit="1" customWidth="1"/>
    <col min="2" max="2" width="19.109375" bestFit="1" customWidth="1"/>
    <col min="4" max="4" width="11.6640625" bestFit="1" customWidth="1"/>
    <col min="7" max="7" width="18.88671875" bestFit="1" customWidth="1"/>
    <col min="8" max="8" width="12" bestFit="1" customWidth="1"/>
    <col min="10" max="10" width="19.5546875" bestFit="1" customWidth="1"/>
    <col min="11" max="11" width="16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102</v>
      </c>
    </row>
    <row r="2" spans="1:11" x14ac:dyDescent="0.3">
      <c r="A2" t="s">
        <v>109</v>
      </c>
      <c r="B2">
        <v>1000000</v>
      </c>
      <c r="C2">
        <v>1</v>
      </c>
      <c r="D2">
        <v>4556</v>
      </c>
      <c r="E2">
        <v>4501</v>
      </c>
      <c r="F2">
        <v>4431</v>
      </c>
      <c r="G2" t="s">
        <v>110</v>
      </c>
      <c r="H2">
        <f>IF(ISNUMBER(G2), G2, SUBSTITUTE(G2, ".", ",")*1)</f>
        <v>271.08083319664001</v>
      </c>
    </row>
    <row r="3" spans="1:11" x14ac:dyDescent="0.3">
      <c r="A3" t="s">
        <v>109</v>
      </c>
      <c r="B3">
        <v>1000000</v>
      </c>
      <c r="C3">
        <v>10</v>
      </c>
      <c r="D3">
        <v>4556</v>
      </c>
      <c r="E3">
        <v>4528</v>
      </c>
      <c r="F3">
        <v>4514</v>
      </c>
      <c r="G3" t="s">
        <v>112</v>
      </c>
      <c r="H3">
        <f t="shared" ref="H3:H51" si="0">IF(ISNUMBER(G3), G3, SUBSTITUTE(G3, ".", ",")*1)</f>
        <v>251.131772756576</v>
      </c>
    </row>
    <row r="4" spans="1:11" x14ac:dyDescent="0.3">
      <c r="A4" t="s">
        <v>109</v>
      </c>
      <c r="B4">
        <v>1000000</v>
      </c>
      <c r="C4">
        <v>15</v>
      </c>
      <c r="D4">
        <v>4556</v>
      </c>
      <c r="E4">
        <v>4532</v>
      </c>
      <c r="F4">
        <v>4476</v>
      </c>
      <c r="G4" t="s">
        <v>114</v>
      </c>
      <c r="H4">
        <f t="shared" si="0"/>
        <v>200.94095134735099</v>
      </c>
      <c r="J4" s="1" t="s">
        <v>105</v>
      </c>
      <c r="K4" t="s">
        <v>949</v>
      </c>
    </row>
    <row r="5" spans="1:11" x14ac:dyDescent="0.3">
      <c r="A5" t="s">
        <v>109</v>
      </c>
      <c r="B5">
        <v>1000000</v>
      </c>
      <c r="C5">
        <v>20</v>
      </c>
      <c r="D5">
        <v>4556</v>
      </c>
      <c r="E5">
        <v>4533</v>
      </c>
      <c r="F5">
        <v>4127</v>
      </c>
      <c r="G5" t="s">
        <v>116</v>
      </c>
      <c r="H5">
        <f t="shared" si="0"/>
        <v>267.18316364288302</v>
      </c>
      <c r="J5" s="2">
        <v>50</v>
      </c>
      <c r="K5" s="3">
        <v>1.2992445627848261E-2</v>
      </c>
    </row>
    <row r="6" spans="1:11" x14ac:dyDescent="0.3">
      <c r="A6" t="s">
        <v>109</v>
      </c>
      <c r="B6">
        <v>1000000</v>
      </c>
      <c r="C6">
        <v>5</v>
      </c>
      <c r="D6">
        <v>4556</v>
      </c>
      <c r="E6">
        <v>4540</v>
      </c>
      <c r="F6">
        <v>4400</v>
      </c>
      <c r="G6" t="s">
        <v>118</v>
      </c>
      <c r="H6">
        <f t="shared" si="0"/>
        <v>332.25887036323502</v>
      </c>
      <c r="J6" s="2">
        <v>100</v>
      </c>
      <c r="K6" s="3">
        <v>2.524860699971513E-2</v>
      </c>
    </row>
    <row r="7" spans="1:11" x14ac:dyDescent="0.3">
      <c r="A7" t="s">
        <v>109</v>
      </c>
      <c r="B7">
        <v>100000</v>
      </c>
      <c r="C7">
        <v>1</v>
      </c>
      <c r="D7">
        <v>4556</v>
      </c>
      <c r="E7">
        <v>4521</v>
      </c>
      <c r="F7">
        <v>4241</v>
      </c>
      <c r="G7" t="s">
        <v>120</v>
      </c>
      <c r="H7">
        <f t="shared" si="0"/>
        <v>26.6917674541473</v>
      </c>
      <c r="J7" s="2">
        <v>500</v>
      </c>
      <c r="K7" s="3">
        <v>0.12704145113627072</v>
      </c>
    </row>
    <row r="8" spans="1:11" x14ac:dyDescent="0.3">
      <c r="A8" t="s">
        <v>109</v>
      </c>
      <c r="B8">
        <v>100000</v>
      </c>
      <c r="C8">
        <v>10</v>
      </c>
      <c r="D8">
        <v>4556</v>
      </c>
      <c r="E8">
        <v>4544</v>
      </c>
      <c r="F8">
        <v>4362</v>
      </c>
      <c r="G8" t="s">
        <v>122</v>
      </c>
      <c r="H8">
        <f t="shared" si="0"/>
        <v>24.0156602859497</v>
      </c>
      <c r="J8" s="2">
        <v>1000</v>
      </c>
      <c r="K8" s="3">
        <v>0.25329198837280226</v>
      </c>
    </row>
    <row r="9" spans="1:11" x14ac:dyDescent="0.3">
      <c r="A9" t="s">
        <v>109</v>
      </c>
      <c r="B9">
        <v>100000</v>
      </c>
      <c r="C9">
        <v>15</v>
      </c>
      <c r="D9">
        <v>4556</v>
      </c>
      <c r="E9">
        <v>4517</v>
      </c>
      <c r="F9">
        <v>4279</v>
      </c>
      <c r="G9" t="s">
        <v>124</v>
      </c>
      <c r="H9">
        <f t="shared" si="0"/>
        <v>27.432199716567901</v>
      </c>
      <c r="J9" s="2">
        <v>5000</v>
      </c>
      <c r="K9" s="3">
        <v>1.2167257944742791</v>
      </c>
    </row>
    <row r="10" spans="1:11" x14ac:dyDescent="0.3">
      <c r="A10" t="s">
        <v>109</v>
      </c>
      <c r="B10">
        <v>100000</v>
      </c>
      <c r="C10">
        <v>20</v>
      </c>
      <c r="D10">
        <v>4556</v>
      </c>
      <c r="E10">
        <v>4549</v>
      </c>
      <c r="F10">
        <v>3975</v>
      </c>
      <c r="G10" t="s">
        <v>126</v>
      </c>
      <c r="H10">
        <f t="shared" si="0"/>
        <v>29.744971036911</v>
      </c>
      <c r="J10" s="2">
        <v>10000</v>
      </c>
      <c r="K10" s="3">
        <v>2.3822288831075005</v>
      </c>
    </row>
    <row r="11" spans="1:11" x14ac:dyDescent="0.3">
      <c r="A11" t="s">
        <v>109</v>
      </c>
      <c r="B11">
        <v>100000</v>
      </c>
      <c r="C11">
        <v>5</v>
      </c>
      <c r="D11">
        <v>4556</v>
      </c>
      <c r="E11">
        <v>4532</v>
      </c>
      <c r="F11">
        <v>4476</v>
      </c>
      <c r="G11" t="s">
        <v>128</v>
      </c>
      <c r="H11">
        <f t="shared" si="0"/>
        <v>24.386036157608</v>
      </c>
      <c r="J11" s="2">
        <v>50000</v>
      </c>
      <c r="K11" s="3">
        <v>13.075259160995426</v>
      </c>
    </row>
    <row r="12" spans="1:11" x14ac:dyDescent="0.3">
      <c r="A12" t="s">
        <v>109</v>
      </c>
      <c r="B12">
        <v>10000</v>
      </c>
      <c r="C12">
        <v>1</v>
      </c>
      <c r="D12">
        <v>4556</v>
      </c>
      <c r="E12">
        <v>4528</v>
      </c>
      <c r="F12">
        <v>4514</v>
      </c>
      <c r="G12" t="s">
        <v>130</v>
      </c>
      <c r="H12">
        <f t="shared" si="0"/>
        <v>2.2105422019958398</v>
      </c>
      <c r="J12" s="2">
        <v>100000</v>
      </c>
      <c r="K12" s="3">
        <v>25.700399669011393</v>
      </c>
    </row>
    <row r="13" spans="1:11" x14ac:dyDescent="0.3">
      <c r="A13" t="s">
        <v>109</v>
      </c>
      <c r="B13">
        <v>10000</v>
      </c>
      <c r="C13">
        <v>10</v>
      </c>
      <c r="D13">
        <v>4556</v>
      </c>
      <c r="E13">
        <v>4552</v>
      </c>
      <c r="F13">
        <v>4286</v>
      </c>
      <c r="G13" t="s">
        <v>132</v>
      </c>
      <c r="H13">
        <f t="shared" si="0"/>
        <v>2.2732024192810001</v>
      </c>
      <c r="J13" s="2">
        <v>500000</v>
      </c>
      <c r="K13" s="3">
        <v>127.77557638486179</v>
      </c>
    </row>
    <row r="14" spans="1:11" x14ac:dyDescent="0.3">
      <c r="A14" t="s">
        <v>109</v>
      </c>
      <c r="B14">
        <v>10000</v>
      </c>
      <c r="C14">
        <v>15</v>
      </c>
      <c r="D14">
        <v>4556</v>
      </c>
      <c r="E14">
        <v>4497</v>
      </c>
      <c r="F14">
        <v>4469</v>
      </c>
      <c r="G14" t="s">
        <v>134</v>
      </c>
      <c r="H14">
        <f t="shared" si="0"/>
        <v>2.7352104187011701</v>
      </c>
      <c r="J14" s="2">
        <v>1000000</v>
      </c>
      <c r="K14" s="3">
        <v>262.3415845870968</v>
      </c>
    </row>
    <row r="15" spans="1:11" x14ac:dyDescent="0.3">
      <c r="A15" t="s">
        <v>109</v>
      </c>
      <c r="B15">
        <v>10000</v>
      </c>
      <c r="C15">
        <v>20</v>
      </c>
      <c r="D15">
        <v>4556</v>
      </c>
      <c r="E15">
        <v>4545</v>
      </c>
      <c r="F15">
        <v>4013</v>
      </c>
      <c r="G15" t="s">
        <v>136</v>
      </c>
      <c r="H15">
        <f t="shared" si="0"/>
        <v>2.0792889595031698</v>
      </c>
      <c r="J15" s="2" t="s">
        <v>106</v>
      </c>
      <c r="K15" s="3">
        <v>43.291034897168394</v>
      </c>
    </row>
    <row r="16" spans="1:11" x14ac:dyDescent="0.3">
      <c r="A16" t="s">
        <v>109</v>
      </c>
      <c r="B16">
        <v>10000</v>
      </c>
      <c r="C16">
        <v>5</v>
      </c>
      <c r="D16">
        <v>4556</v>
      </c>
      <c r="E16">
        <v>4537</v>
      </c>
      <c r="F16">
        <v>4089</v>
      </c>
      <c r="G16" t="s">
        <v>138</v>
      </c>
      <c r="H16">
        <f t="shared" si="0"/>
        <v>1.95346999168396</v>
      </c>
    </row>
    <row r="17" spans="1:8" x14ac:dyDescent="0.3">
      <c r="A17" t="s">
        <v>109</v>
      </c>
      <c r="B17">
        <v>1000</v>
      </c>
      <c r="C17">
        <v>1</v>
      </c>
      <c r="D17">
        <v>4556</v>
      </c>
      <c r="E17">
        <v>4532</v>
      </c>
      <c r="F17">
        <v>4476</v>
      </c>
      <c r="G17" t="s">
        <v>140</v>
      </c>
      <c r="H17">
        <f t="shared" si="0"/>
        <v>0.218687534332275</v>
      </c>
    </row>
    <row r="18" spans="1:8" x14ac:dyDescent="0.3">
      <c r="A18" t="s">
        <v>109</v>
      </c>
      <c r="B18">
        <v>1000</v>
      </c>
      <c r="C18">
        <v>10</v>
      </c>
      <c r="D18">
        <v>4556</v>
      </c>
      <c r="E18">
        <v>4528</v>
      </c>
      <c r="F18">
        <v>4514</v>
      </c>
      <c r="G18" t="s">
        <v>142</v>
      </c>
      <c r="H18">
        <f t="shared" si="0"/>
        <v>0.218238115310668</v>
      </c>
    </row>
    <row r="19" spans="1:8" x14ac:dyDescent="0.3">
      <c r="A19" t="s">
        <v>109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144</v>
      </c>
      <c r="H19">
        <f t="shared" si="0"/>
        <v>0.276690483093261</v>
      </c>
    </row>
    <row r="20" spans="1:8" x14ac:dyDescent="0.3">
      <c r="A20" t="s">
        <v>109</v>
      </c>
      <c r="B20">
        <v>1000</v>
      </c>
      <c r="C20">
        <v>20</v>
      </c>
      <c r="D20">
        <v>4556</v>
      </c>
      <c r="E20">
        <v>4528</v>
      </c>
      <c r="F20">
        <v>4514</v>
      </c>
      <c r="G20" t="s">
        <v>146</v>
      </c>
      <c r="H20">
        <f t="shared" si="0"/>
        <v>0.23788285255432101</v>
      </c>
    </row>
    <row r="21" spans="1:8" x14ac:dyDescent="0.3">
      <c r="A21" t="s">
        <v>109</v>
      </c>
      <c r="B21">
        <v>1000</v>
      </c>
      <c r="C21">
        <v>5</v>
      </c>
      <c r="D21">
        <v>4556</v>
      </c>
      <c r="E21">
        <v>4528</v>
      </c>
      <c r="F21">
        <v>4514</v>
      </c>
      <c r="G21" t="s">
        <v>148</v>
      </c>
      <c r="H21">
        <f t="shared" si="0"/>
        <v>0.291370630264282</v>
      </c>
    </row>
    <row r="22" spans="1:8" x14ac:dyDescent="0.3">
      <c r="A22" t="s">
        <v>109</v>
      </c>
      <c r="B22">
        <v>100</v>
      </c>
      <c r="C22">
        <v>1</v>
      </c>
      <c r="D22">
        <v>4556</v>
      </c>
      <c r="E22">
        <v>4540</v>
      </c>
      <c r="F22">
        <v>4400</v>
      </c>
      <c r="G22" t="s">
        <v>150</v>
      </c>
      <c r="H22">
        <f t="shared" si="0"/>
        <v>2.1034240722656201E-2</v>
      </c>
    </row>
    <row r="23" spans="1:8" x14ac:dyDescent="0.3">
      <c r="A23" t="s">
        <v>109</v>
      </c>
      <c r="B23">
        <v>100</v>
      </c>
      <c r="C23">
        <v>10</v>
      </c>
      <c r="D23">
        <v>4556</v>
      </c>
      <c r="E23">
        <v>4528</v>
      </c>
      <c r="F23">
        <v>4514</v>
      </c>
      <c r="G23" t="s">
        <v>152</v>
      </c>
      <c r="H23">
        <f t="shared" si="0"/>
        <v>3.02066802978515E-2</v>
      </c>
    </row>
    <row r="24" spans="1:8" x14ac:dyDescent="0.3">
      <c r="A24" t="s">
        <v>109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154</v>
      </c>
      <c r="H24">
        <f t="shared" si="0"/>
        <v>2.80330181121826E-2</v>
      </c>
    </row>
    <row r="25" spans="1:8" x14ac:dyDescent="0.3">
      <c r="A25" t="s">
        <v>109</v>
      </c>
      <c r="B25">
        <v>100</v>
      </c>
      <c r="C25">
        <v>20</v>
      </c>
      <c r="D25">
        <v>4556</v>
      </c>
      <c r="E25">
        <v>4528</v>
      </c>
      <c r="F25">
        <v>4514</v>
      </c>
      <c r="G25" t="s">
        <v>156</v>
      </c>
      <c r="H25">
        <f t="shared" si="0"/>
        <v>3.11417579650878E-2</v>
      </c>
    </row>
    <row r="26" spans="1:8" x14ac:dyDescent="0.3">
      <c r="A26" t="s">
        <v>109</v>
      </c>
      <c r="B26">
        <v>100</v>
      </c>
      <c r="C26">
        <v>5</v>
      </c>
      <c r="D26">
        <v>4556</v>
      </c>
      <c r="E26">
        <v>4532</v>
      </c>
      <c r="F26">
        <v>4476</v>
      </c>
      <c r="G26" t="s">
        <v>158</v>
      </c>
      <c r="H26">
        <f t="shared" si="0"/>
        <v>2.60205268859863E-2</v>
      </c>
    </row>
    <row r="27" spans="1:8" x14ac:dyDescent="0.3">
      <c r="A27" t="s">
        <v>109</v>
      </c>
      <c r="B27">
        <v>500000</v>
      </c>
      <c r="C27">
        <v>1</v>
      </c>
      <c r="D27">
        <v>4556</v>
      </c>
      <c r="E27">
        <v>4502</v>
      </c>
      <c r="F27">
        <v>4082</v>
      </c>
      <c r="G27" t="s">
        <v>160</v>
      </c>
      <c r="H27">
        <f t="shared" si="0"/>
        <v>149.513194322586</v>
      </c>
    </row>
    <row r="28" spans="1:8" x14ac:dyDescent="0.3">
      <c r="A28" t="s">
        <v>109</v>
      </c>
      <c r="B28">
        <v>500000</v>
      </c>
      <c r="C28">
        <v>10</v>
      </c>
      <c r="D28">
        <v>4556</v>
      </c>
      <c r="E28">
        <v>4533</v>
      </c>
      <c r="F28">
        <v>4127</v>
      </c>
      <c r="G28" t="s">
        <v>162</v>
      </c>
      <c r="H28">
        <f t="shared" si="0"/>
        <v>117.746054172515</v>
      </c>
    </row>
    <row r="29" spans="1:8" x14ac:dyDescent="0.3">
      <c r="A29" t="s">
        <v>109</v>
      </c>
      <c r="B29">
        <v>500000</v>
      </c>
      <c r="C29">
        <v>15</v>
      </c>
      <c r="D29">
        <v>4556</v>
      </c>
      <c r="E29">
        <v>4532</v>
      </c>
      <c r="F29">
        <v>4476</v>
      </c>
      <c r="G29" t="s">
        <v>164</v>
      </c>
      <c r="H29">
        <f t="shared" si="0"/>
        <v>127.342970371246</v>
      </c>
    </row>
    <row r="30" spans="1:8" x14ac:dyDescent="0.3">
      <c r="A30" t="s">
        <v>109</v>
      </c>
      <c r="B30">
        <v>500000</v>
      </c>
      <c r="C30">
        <v>20</v>
      </c>
      <c r="D30">
        <v>4556</v>
      </c>
      <c r="E30">
        <v>4528</v>
      </c>
      <c r="F30">
        <v>4514</v>
      </c>
      <c r="G30" t="s">
        <v>166</v>
      </c>
      <c r="H30">
        <f t="shared" si="0"/>
        <v>132.48358607292101</v>
      </c>
    </row>
    <row r="31" spans="1:8" x14ac:dyDescent="0.3">
      <c r="A31" t="s">
        <v>109</v>
      </c>
      <c r="B31">
        <v>500000</v>
      </c>
      <c r="C31">
        <v>5</v>
      </c>
      <c r="D31">
        <v>4556</v>
      </c>
      <c r="E31">
        <v>4533</v>
      </c>
      <c r="F31">
        <v>4127</v>
      </c>
      <c r="G31" t="s">
        <v>168</v>
      </c>
      <c r="H31">
        <f t="shared" si="0"/>
        <v>130.343187093734</v>
      </c>
    </row>
    <row r="32" spans="1:8" x14ac:dyDescent="0.3">
      <c r="A32" t="s">
        <v>109</v>
      </c>
      <c r="B32">
        <v>50000</v>
      </c>
      <c r="C32">
        <v>1</v>
      </c>
      <c r="D32">
        <v>4556</v>
      </c>
      <c r="E32">
        <v>4556</v>
      </c>
      <c r="F32">
        <v>4248</v>
      </c>
      <c r="G32" t="s">
        <v>170</v>
      </c>
      <c r="H32">
        <f t="shared" si="0"/>
        <v>10.0252723693847</v>
      </c>
    </row>
    <row r="33" spans="1:8" x14ac:dyDescent="0.3">
      <c r="A33" t="s">
        <v>109</v>
      </c>
      <c r="B33">
        <v>50000</v>
      </c>
      <c r="C33">
        <v>10</v>
      </c>
      <c r="D33">
        <v>4556</v>
      </c>
      <c r="E33">
        <v>4497</v>
      </c>
      <c r="F33">
        <v>4469</v>
      </c>
      <c r="G33" t="s">
        <v>172</v>
      </c>
      <c r="H33">
        <f t="shared" si="0"/>
        <v>14.6338658332824</v>
      </c>
    </row>
    <row r="34" spans="1:8" x14ac:dyDescent="0.3">
      <c r="A34" t="s">
        <v>109</v>
      </c>
      <c r="B34">
        <v>50000</v>
      </c>
      <c r="C34">
        <v>15</v>
      </c>
      <c r="D34">
        <v>4556</v>
      </c>
      <c r="E34">
        <v>4541</v>
      </c>
      <c r="F34">
        <v>4051</v>
      </c>
      <c r="G34" t="s">
        <v>174</v>
      </c>
      <c r="H34">
        <f t="shared" si="0"/>
        <v>11.297986984252899</v>
      </c>
    </row>
    <row r="35" spans="1:8" x14ac:dyDescent="0.3">
      <c r="A35" t="s">
        <v>109</v>
      </c>
      <c r="B35">
        <v>50000</v>
      </c>
      <c r="C35">
        <v>20</v>
      </c>
      <c r="D35">
        <v>4556</v>
      </c>
      <c r="E35">
        <v>4533</v>
      </c>
      <c r="F35">
        <v>4127</v>
      </c>
      <c r="G35" t="s">
        <v>176</v>
      </c>
      <c r="H35">
        <f t="shared" si="0"/>
        <v>11.255826711654599</v>
      </c>
    </row>
    <row r="36" spans="1:8" x14ac:dyDescent="0.3">
      <c r="A36" t="s">
        <v>109</v>
      </c>
      <c r="B36">
        <v>50000</v>
      </c>
      <c r="C36">
        <v>5</v>
      </c>
      <c r="D36">
        <v>4556</v>
      </c>
      <c r="E36">
        <v>4532</v>
      </c>
      <c r="F36">
        <v>4476</v>
      </c>
      <c r="G36" t="s">
        <v>178</v>
      </c>
      <c r="H36">
        <f t="shared" si="0"/>
        <v>12.470835924148499</v>
      </c>
    </row>
    <row r="37" spans="1:8" x14ac:dyDescent="0.3">
      <c r="A37" t="s">
        <v>109</v>
      </c>
      <c r="B37">
        <v>5000</v>
      </c>
      <c r="C37">
        <v>1</v>
      </c>
      <c r="D37">
        <v>4556</v>
      </c>
      <c r="E37">
        <v>4540</v>
      </c>
      <c r="F37">
        <v>4400</v>
      </c>
      <c r="G37" t="s">
        <v>180</v>
      </c>
      <c r="H37">
        <f t="shared" si="0"/>
        <v>1.03534603118896</v>
      </c>
    </row>
    <row r="38" spans="1:8" x14ac:dyDescent="0.3">
      <c r="A38" t="s">
        <v>109</v>
      </c>
      <c r="B38">
        <v>5000</v>
      </c>
      <c r="C38">
        <v>10</v>
      </c>
      <c r="D38">
        <v>4556</v>
      </c>
      <c r="E38">
        <v>4528</v>
      </c>
      <c r="F38">
        <v>4514</v>
      </c>
      <c r="G38" t="s">
        <v>182</v>
      </c>
      <c r="H38">
        <f t="shared" si="0"/>
        <v>1.20262670516967</v>
      </c>
    </row>
    <row r="39" spans="1:8" x14ac:dyDescent="0.3">
      <c r="A39" t="s">
        <v>109</v>
      </c>
      <c r="B39">
        <v>5000</v>
      </c>
      <c r="C39">
        <v>15</v>
      </c>
      <c r="D39">
        <v>4556</v>
      </c>
      <c r="E39">
        <v>4528</v>
      </c>
      <c r="F39">
        <v>4514</v>
      </c>
      <c r="G39" t="s">
        <v>184</v>
      </c>
      <c r="H39">
        <f t="shared" si="0"/>
        <v>1.0795416831970199</v>
      </c>
    </row>
    <row r="40" spans="1:8" x14ac:dyDescent="0.3">
      <c r="A40" t="s">
        <v>109</v>
      </c>
      <c r="B40">
        <v>5000</v>
      </c>
      <c r="C40">
        <v>20</v>
      </c>
      <c r="D40">
        <v>4556</v>
      </c>
      <c r="E40">
        <v>4528</v>
      </c>
      <c r="F40">
        <v>4514</v>
      </c>
      <c r="G40" t="s">
        <v>186</v>
      </c>
      <c r="H40">
        <f t="shared" si="0"/>
        <v>1.31871533393859</v>
      </c>
    </row>
    <row r="41" spans="1:8" x14ac:dyDescent="0.3">
      <c r="A41" t="s">
        <v>109</v>
      </c>
      <c r="B41">
        <v>5000</v>
      </c>
      <c r="C41">
        <v>5</v>
      </c>
      <c r="D41">
        <v>4556</v>
      </c>
      <c r="E41">
        <v>4497</v>
      </c>
      <c r="F41">
        <v>4469</v>
      </c>
      <c r="G41" t="s">
        <v>188</v>
      </c>
      <c r="H41">
        <f t="shared" si="0"/>
        <v>1.2598962783813401</v>
      </c>
    </row>
    <row r="42" spans="1:8" x14ac:dyDescent="0.3">
      <c r="A42" t="s">
        <v>109</v>
      </c>
      <c r="B42">
        <v>500</v>
      </c>
      <c r="C42">
        <v>1</v>
      </c>
      <c r="D42">
        <v>4556</v>
      </c>
      <c r="E42">
        <v>4532</v>
      </c>
      <c r="F42">
        <v>4476</v>
      </c>
      <c r="G42" t="s">
        <v>190</v>
      </c>
      <c r="H42">
        <f t="shared" si="0"/>
        <v>0.11668062210082999</v>
      </c>
    </row>
    <row r="43" spans="1:8" x14ac:dyDescent="0.3">
      <c r="A43" t="s">
        <v>109</v>
      </c>
      <c r="B43">
        <v>500</v>
      </c>
      <c r="C43">
        <v>10</v>
      </c>
      <c r="D43">
        <v>4556</v>
      </c>
      <c r="E43">
        <v>4544</v>
      </c>
      <c r="F43">
        <v>4362</v>
      </c>
      <c r="G43" t="s">
        <v>192</v>
      </c>
      <c r="H43">
        <f t="shared" si="0"/>
        <v>0.112716674804687</v>
      </c>
    </row>
    <row r="44" spans="1:8" x14ac:dyDescent="0.3">
      <c r="A44" t="s">
        <v>109</v>
      </c>
      <c r="B44">
        <v>500</v>
      </c>
      <c r="C44">
        <v>15</v>
      </c>
      <c r="D44">
        <v>4556</v>
      </c>
      <c r="E44">
        <v>4532</v>
      </c>
      <c r="F44">
        <v>4476</v>
      </c>
      <c r="G44" t="s">
        <v>194</v>
      </c>
      <c r="H44">
        <f t="shared" si="0"/>
        <v>0.10711240768432601</v>
      </c>
    </row>
    <row r="45" spans="1:8" x14ac:dyDescent="0.3">
      <c r="A45" t="s">
        <v>109</v>
      </c>
      <c r="B45">
        <v>500</v>
      </c>
      <c r="C45">
        <v>20</v>
      </c>
      <c r="D45">
        <v>4556</v>
      </c>
      <c r="E45">
        <v>4528</v>
      </c>
      <c r="F45">
        <v>4514</v>
      </c>
      <c r="G45" t="s">
        <v>196</v>
      </c>
      <c r="H45">
        <f t="shared" si="0"/>
        <v>0.132197380065917</v>
      </c>
    </row>
    <row r="46" spans="1:8" x14ac:dyDescent="0.3">
      <c r="A46" t="s">
        <v>109</v>
      </c>
      <c r="B46">
        <v>500</v>
      </c>
      <c r="C46">
        <v>5</v>
      </c>
      <c r="D46">
        <v>4556</v>
      </c>
      <c r="E46">
        <v>4528</v>
      </c>
      <c r="F46">
        <v>4514</v>
      </c>
      <c r="G46" t="s">
        <v>198</v>
      </c>
      <c r="H46">
        <f t="shared" si="0"/>
        <v>0.118488311767578</v>
      </c>
    </row>
    <row r="47" spans="1:8" x14ac:dyDescent="0.3">
      <c r="A47" t="s">
        <v>109</v>
      </c>
      <c r="B47">
        <v>50</v>
      </c>
      <c r="C47">
        <v>1</v>
      </c>
      <c r="D47">
        <v>4556</v>
      </c>
      <c r="E47">
        <v>4532</v>
      </c>
      <c r="F47">
        <v>4476</v>
      </c>
      <c r="G47" t="s">
        <v>200</v>
      </c>
      <c r="H47">
        <f t="shared" si="0"/>
        <v>1.00011825561523E-2</v>
      </c>
    </row>
    <row r="48" spans="1:8" x14ac:dyDescent="0.3">
      <c r="A48" t="s">
        <v>109</v>
      </c>
      <c r="B48">
        <v>50</v>
      </c>
      <c r="C48">
        <v>10</v>
      </c>
      <c r="D48">
        <v>4556</v>
      </c>
      <c r="E48">
        <v>4528</v>
      </c>
      <c r="F48">
        <v>4514</v>
      </c>
      <c r="G48" t="s">
        <v>202</v>
      </c>
      <c r="H48">
        <f t="shared" si="0"/>
        <v>1.45032405853271E-2</v>
      </c>
    </row>
    <row r="49" spans="1:8" x14ac:dyDescent="0.3">
      <c r="A49" t="s">
        <v>109</v>
      </c>
      <c r="B49">
        <v>50</v>
      </c>
      <c r="C49">
        <v>15</v>
      </c>
      <c r="D49">
        <v>4556</v>
      </c>
      <c r="E49">
        <v>4528</v>
      </c>
      <c r="F49">
        <v>4514</v>
      </c>
      <c r="G49" t="s">
        <v>204</v>
      </c>
      <c r="H49">
        <f t="shared" si="0"/>
        <v>1.1999607086181601E-2</v>
      </c>
    </row>
    <row r="50" spans="1:8" x14ac:dyDescent="0.3">
      <c r="A50" t="s">
        <v>109</v>
      </c>
      <c r="B50">
        <v>50</v>
      </c>
      <c r="C50">
        <v>20</v>
      </c>
      <c r="D50">
        <v>4556</v>
      </c>
      <c r="E50">
        <v>4528</v>
      </c>
      <c r="F50">
        <v>4514</v>
      </c>
      <c r="G50" t="s">
        <v>206</v>
      </c>
      <c r="H50">
        <f t="shared" si="0"/>
        <v>1.6999244689941399E-2</v>
      </c>
    </row>
    <row r="51" spans="1:8" x14ac:dyDescent="0.3">
      <c r="A51" t="s">
        <v>109</v>
      </c>
      <c r="B51">
        <v>50</v>
      </c>
      <c r="C51">
        <v>5</v>
      </c>
      <c r="D51">
        <v>4556</v>
      </c>
      <c r="E51">
        <v>4532</v>
      </c>
      <c r="F51">
        <v>4476</v>
      </c>
      <c r="G51" t="s">
        <v>208</v>
      </c>
      <c r="H51">
        <f t="shared" si="0"/>
        <v>1.20341777801513E-2</v>
      </c>
    </row>
    <row r="52" spans="1:8" x14ac:dyDescent="0.3">
      <c r="A52" t="s">
        <v>310</v>
      </c>
      <c r="B52">
        <v>1000000</v>
      </c>
      <c r="C52">
        <v>1</v>
      </c>
      <c r="D52">
        <v>3177</v>
      </c>
      <c r="E52">
        <v>3164</v>
      </c>
      <c r="F52">
        <v>4524</v>
      </c>
      <c r="G52" t="s">
        <v>311</v>
      </c>
      <c r="H52">
        <f>IF(ISNUMBER(G52), G52, SUBSTITUTE(G52, ".", ",")*1)</f>
        <v>213.02613663673401</v>
      </c>
    </row>
    <row r="53" spans="1:8" x14ac:dyDescent="0.3">
      <c r="A53" t="s">
        <v>310</v>
      </c>
      <c r="B53">
        <v>1000000</v>
      </c>
      <c r="C53">
        <v>10</v>
      </c>
      <c r="D53">
        <v>3177</v>
      </c>
      <c r="E53">
        <v>3170</v>
      </c>
      <c r="F53">
        <v>4290</v>
      </c>
      <c r="G53" t="s">
        <v>313</v>
      </c>
      <c r="H53">
        <f t="shared" ref="H53:H101" si="1">IF(ISNUMBER(G53), G53, SUBSTITUTE(G53, ".", ",")*1)</f>
        <v>259.67955613136201</v>
      </c>
    </row>
    <row r="54" spans="1:8" x14ac:dyDescent="0.3">
      <c r="A54" t="s">
        <v>310</v>
      </c>
      <c r="B54">
        <v>1000000</v>
      </c>
      <c r="C54">
        <v>15</v>
      </c>
      <c r="D54">
        <v>3177</v>
      </c>
      <c r="E54">
        <v>3162</v>
      </c>
      <c r="F54">
        <v>4602</v>
      </c>
      <c r="G54" t="s">
        <v>315</v>
      </c>
      <c r="H54">
        <f t="shared" si="1"/>
        <v>260.35935616493202</v>
      </c>
    </row>
    <row r="55" spans="1:8" x14ac:dyDescent="0.3">
      <c r="A55" t="s">
        <v>310</v>
      </c>
      <c r="B55">
        <v>1000000</v>
      </c>
      <c r="C55">
        <v>20</v>
      </c>
      <c r="D55">
        <v>3177</v>
      </c>
      <c r="E55">
        <v>3162</v>
      </c>
      <c r="F55">
        <v>4602</v>
      </c>
      <c r="G55" t="s">
        <v>317</v>
      </c>
      <c r="H55">
        <f t="shared" si="1"/>
        <v>268.42133450508101</v>
      </c>
    </row>
    <row r="56" spans="1:8" x14ac:dyDescent="0.3">
      <c r="A56" t="s">
        <v>310</v>
      </c>
      <c r="B56">
        <v>1000000</v>
      </c>
      <c r="C56">
        <v>5</v>
      </c>
      <c r="D56">
        <v>3177</v>
      </c>
      <c r="E56">
        <v>3172</v>
      </c>
      <c r="F56">
        <v>4212</v>
      </c>
      <c r="G56" t="s">
        <v>319</v>
      </c>
      <c r="H56">
        <f t="shared" si="1"/>
        <v>239.145867347717</v>
      </c>
    </row>
    <row r="57" spans="1:8" x14ac:dyDescent="0.3">
      <c r="A57" t="s">
        <v>310</v>
      </c>
      <c r="B57">
        <v>100000</v>
      </c>
      <c r="C57">
        <v>1</v>
      </c>
      <c r="D57">
        <v>3177</v>
      </c>
      <c r="E57">
        <v>3174</v>
      </c>
      <c r="F57">
        <v>4134</v>
      </c>
      <c r="G57" t="s">
        <v>321</v>
      </c>
      <c r="H57">
        <f t="shared" si="1"/>
        <v>25.416838884353599</v>
      </c>
    </row>
    <row r="58" spans="1:8" x14ac:dyDescent="0.3">
      <c r="A58" t="s">
        <v>310</v>
      </c>
      <c r="B58">
        <v>100000</v>
      </c>
      <c r="C58">
        <v>10</v>
      </c>
      <c r="D58">
        <v>3177</v>
      </c>
      <c r="E58">
        <v>3173</v>
      </c>
      <c r="F58">
        <v>4953</v>
      </c>
      <c r="G58" t="s">
        <v>323</v>
      </c>
      <c r="H58">
        <f t="shared" si="1"/>
        <v>25.507731199264501</v>
      </c>
    </row>
    <row r="59" spans="1:8" x14ac:dyDescent="0.3">
      <c r="A59" t="s">
        <v>310</v>
      </c>
      <c r="B59">
        <v>100000</v>
      </c>
      <c r="C59">
        <v>15</v>
      </c>
      <c r="D59">
        <v>3177</v>
      </c>
      <c r="E59">
        <v>3164</v>
      </c>
      <c r="F59">
        <v>4524</v>
      </c>
      <c r="G59" t="s">
        <v>325</v>
      </c>
      <c r="H59">
        <f t="shared" si="1"/>
        <v>24.171571731567301</v>
      </c>
    </row>
    <row r="60" spans="1:8" x14ac:dyDescent="0.3">
      <c r="A60" t="s">
        <v>310</v>
      </c>
      <c r="B60">
        <v>100000</v>
      </c>
      <c r="C60">
        <v>20</v>
      </c>
      <c r="D60">
        <v>3177</v>
      </c>
      <c r="E60">
        <v>3162</v>
      </c>
      <c r="F60">
        <v>4602</v>
      </c>
      <c r="G60" t="s">
        <v>327</v>
      </c>
      <c r="H60">
        <f t="shared" si="1"/>
        <v>24.583228111267001</v>
      </c>
    </row>
    <row r="61" spans="1:8" x14ac:dyDescent="0.3">
      <c r="A61" t="s">
        <v>310</v>
      </c>
      <c r="B61">
        <v>100000</v>
      </c>
      <c r="C61">
        <v>5</v>
      </c>
      <c r="D61">
        <v>3177</v>
      </c>
      <c r="E61">
        <v>3160</v>
      </c>
      <c r="F61">
        <v>4680</v>
      </c>
      <c r="G61" t="s">
        <v>329</v>
      </c>
      <c r="H61">
        <f t="shared" si="1"/>
        <v>29.871075630187899</v>
      </c>
    </row>
    <row r="62" spans="1:8" x14ac:dyDescent="0.3">
      <c r="A62" t="s">
        <v>310</v>
      </c>
      <c r="B62">
        <v>10000</v>
      </c>
      <c r="C62">
        <v>1</v>
      </c>
      <c r="D62">
        <v>3177</v>
      </c>
      <c r="E62">
        <v>3162</v>
      </c>
      <c r="F62">
        <v>4602</v>
      </c>
      <c r="G62" t="s">
        <v>331</v>
      </c>
      <c r="H62">
        <f t="shared" si="1"/>
        <v>2.5064721107482901</v>
      </c>
    </row>
    <row r="63" spans="1:8" x14ac:dyDescent="0.3">
      <c r="A63" t="s">
        <v>310</v>
      </c>
      <c r="B63">
        <v>10000</v>
      </c>
      <c r="C63">
        <v>10</v>
      </c>
      <c r="D63">
        <v>3177</v>
      </c>
      <c r="E63">
        <v>3168</v>
      </c>
      <c r="F63">
        <v>4368</v>
      </c>
      <c r="G63" t="s">
        <v>333</v>
      </c>
      <c r="H63">
        <f t="shared" si="1"/>
        <v>2.1455841064453098</v>
      </c>
    </row>
    <row r="64" spans="1:8" x14ac:dyDescent="0.3">
      <c r="A64" t="s">
        <v>310</v>
      </c>
      <c r="B64">
        <v>10000</v>
      </c>
      <c r="C64">
        <v>15</v>
      </c>
      <c r="D64">
        <v>3177</v>
      </c>
      <c r="E64">
        <v>3164</v>
      </c>
      <c r="F64">
        <v>4524</v>
      </c>
      <c r="G64" t="s">
        <v>335</v>
      </c>
      <c r="H64">
        <f t="shared" si="1"/>
        <v>2.5084884166717498</v>
      </c>
    </row>
    <row r="65" spans="1:8" x14ac:dyDescent="0.3">
      <c r="A65" t="s">
        <v>310</v>
      </c>
      <c r="B65">
        <v>10000</v>
      </c>
      <c r="C65">
        <v>20</v>
      </c>
      <c r="D65">
        <v>3177</v>
      </c>
      <c r="E65">
        <v>3162</v>
      </c>
      <c r="F65">
        <v>4602</v>
      </c>
      <c r="G65" t="s">
        <v>337</v>
      </c>
      <c r="H65">
        <f t="shared" si="1"/>
        <v>2.6093401908874498</v>
      </c>
    </row>
    <row r="66" spans="1:8" x14ac:dyDescent="0.3">
      <c r="A66" t="s">
        <v>310</v>
      </c>
      <c r="B66">
        <v>10000</v>
      </c>
      <c r="C66">
        <v>5</v>
      </c>
      <c r="D66">
        <v>3177</v>
      </c>
      <c r="E66">
        <v>3164</v>
      </c>
      <c r="F66">
        <v>4524</v>
      </c>
      <c r="G66" t="s">
        <v>339</v>
      </c>
      <c r="H66">
        <f t="shared" si="1"/>
        <v>2.3118195533752401</v>
      </c>
    </row>
    <row r="67" spans="1:8" x14ac:dyDescent="0.3">
      <c r="A67" t="s">
        <v>310</v>
      </c>
      <c r="B67">
        <v>1000</v>
      </c>
      <c r="C67">
        <v>1</v>
      </c>
      <c r="D67">
        <v>3177</v>
      </c>
      <c r="E67">
        <v>3169</v>
      </c>
      <c r="F67">
        <v>5109</v>
      </c>
      <c r="G67" t="s">
        <v>341</v>
      </c>
      <c r="H67">
        <f t="shared" si="1"/>
        <v>0.234714269638061</v>
      </c>
    </row>
    <row r="68" spans="1:8" x14ac:dyDescent="0.3">
      <c r="A68" t="s">
        <v>310</v>
      </c>
      <c r="B68">
        <v>1000</v>
      </c>
      <c r="C68">
        <v>10</v>
      </c>
      <c r="D68">
        <v>3177</v>
      </c>
      <c r="E68">
        <v>3162</v>
      </c>
      <c r="F68">
        <v>4602</v>
      </c>
      <c r="G68" t="s">
        <v>343</v>
      </c>
      <c r="H68">
        <f t="shared" si="1"/>
        <v>0.26364707946777299</v>
      </c>
    </row>
    <row r="69" spans="1:8" x14ac:dyDescent="0.3">
      <c r="A69" t="s">
        <v>310</v>
      </c>
      <c r="B69">
        <v>1000</v>
      </c>
      <c r="C69">
        <v>15</v>
      </c>
      <c r="D69">
        <v>3177</v>
      </c>
      <c r="E69">
        <v>3175</v>
      </c>
      <c r="F69">
        <v>4875</v>
      </c>
      <c r="G69" t="s">
        <v>345</v>
      </c>
      <c r="H69">
        <f t="shared" si="1"/>
        <v>0.230627536773681</v>
      </c>
    </row>
    <row r="70" spans="1:8" x14ac:dyDescent="0.3">
      <c r="A70" t="s">
        <v>310</v>
      </c>
      <c r="B70">
        <v>1000</v>
      </c>
      <c r="C70">
        <v>20</v>
      </c>
      <c r="D70">
        <v>3177</v>
      </c>
      <c r="E70">
        <v>3171</v>
      </c>
      <c r="F70">
        <v>5031</v>
      </c>
      <c r="G70" t="s">
        <v>347</v>
      </c>
      <c r="H70">
        <f t="shared" si="1"/>
        <v>0.25091242790222101</v>
      </c>
    </row>
    <row r="71" spans="1:8" x14ac:dyDescent="0.3">
      <c r="A71" t="s">
        <v>310</v>
      </c>
      <c r="B71">
        <v>1000</v>
      </c>
      <c r="C71">
        <v>5</v>
      </c>
      <c r="D71">
        <v>3177</v>
      </c>
      <c r="E71">
        <v>3160</v>
      </c>
      <c r="F71">
        <v>4680</v>
      </c>
      <c r="G71" t="s">
        <v>349</v>
      </c>
      <c r="H71">
        <f t="shared" si="1"/>
        <v>0.23476743698120101</v>
      </c>
    </row>
    <row r="72" spans="1:8" x14ac:dyDescent="0.3">
      <c r="A72" t="s">
        <v>310</v>
      </c>
      <c r="B72">
        <v>100</v>
      </c>
      <c r="C72">
        <v>1</v>
      </c>
      <c r="D72">
        <v>3177</v>
      </c>
      <c r="E72">
        <v>3175</v>
      </c>
      <c r="F72">
        <v>4875</v>
      </c>
      <c r="G72" t="s">
        <v>351</v>
      </c>
      <c r="H72">
        <f t="shared" si="1"/>
        <v>2.7999639511108398E-2</v>
      </c>
    </row>
    <row r="73" spans="1:8" x14ac:dyDescent="0.3">
      <c r="A73" t="s">
        <v>310</v>
      </c>
      <c r="B73">
        <v>100</v>
      </c>
      <c r="C73">
        <v>10</v>
      </c>
      <c r="D73">
        <v>3177</v>
      </c>
      <c r="E73">
        <v>3162</v>
      </c>
      <c r="F73">
        <v>4602</v>
      </c>
      <c r="G73" t="s">
        <v>353</v>
      </c>
      <c r="H73">
        <f t="shared" si="1"/>
        <v>2.3975372314453101E-2</v>
      </c>
    </row>
    <row r="74" spans="1:8" x14ac:dyDescent="0.3">
      <c r="A74" t="s">
        <v>310</v>
      </c>
      <c r="B74">
        <v>100</v>
      </c>
      <c r="C74">
        <v>15</v>
      </c>
      <c r="D74">
        <v>3177</v>
      </c>
      <c r="E74">
        <v>3171</v>
      </c>
      <c r="F74">
        <v>5031</v>
      </c>
      <c r="G74" t="s">
        <v>355</v>
      </c>
      <c r="H74">
        <f t="shared" si="1"/>
        <v>2.9999971389770501E-2</v>
      </c>
    </row>
    <row r="75" spans="1:8" x14ac:dyDescent="0.3">
      <c r="A75" t="s">
        <v>310</v>
      </c>
      <c r="B75">
        <v>100</v>
      </c>
      <c r="C75">
        <v>20</v>
      </c>
      <c r="D75">
        <v>3177</v>
      </c>
      <c r="E75">
        <v>3171</v>
      </c>
      <c r="F75">
        <v>5031</v>
      </c>
      <c r="G75" t="s">
        <v>357</v>
      </c>
      <c r="H75">
        <f t="shared" si="1"/>
        <v>2.4042367935180602E-2</v>
      </c>
    </row>
    <row r="76" spans="1:8" x14ac:dyDescent="0.3">
      <c r="A76" t="s">
        <v>310</v>
      </c>
      <c r="B76">
        <v>100</v>
      </c>
      <c r="C76">
        <v>5</v>
      </c>
      <c r="D76">
        <v>3177</v>
      </c>
      <c r="E76">
        <v>3169</v>
      </c>
      <c r="F76">
        <v>5109</v>
      </c>
      <c r="G76" t="s">
        <v>359</v>
      </c>
      <c r="H76">
        <f t="shared" si="1"/>
        <v>2.90296077728271E-2</v>
      </c>
    </row>
    <row r="77" spans="1:8" x14ac:dyDescent="0.3">
      <c r="A77" t="s">
        <v>310</v>
      </c>
      <c r="B77">
        <v>500000</v>
      </c>
      <c r="C77">
        <v>1</v>
      </c>
      <c r="D77">
        <v>3177</v>
      </c>
      <c r="E77">
        <v>3177</v>
      </c>
      <c r="F77">
        <v>4797</v>
      </c>
      <c r="G77" t="s">
        <v>361</v>
      </c>
      <c r="H77">
        <f t="shared" si="1"/>
        <v>99.015268087387</v>
      </c>
    </row>
    <row r="78" spans="1:8" x14ac:dyDescent="0.3">
      <c r="A78" t="s">
        <v>310</v>
      </c>
      <c r="B78">
        <v>500000</v>
      </c>
      <c r="C78">
        <v>10</v>
      </c>
      <c r="D78">
        <v>3177</v>
      </c>
      <c r="E78">
        <v>3162</v>
      </c>
      <c r="F78">
        <v>4602</v>
      </c>
      <c r="G78" t="s">
        <v>363</v>
      </c>
      <c r="H78">
        <f t="shared" si="1"/>
        <v>143.12851238250701</v>
      </c>
    </row>
    <row r="79" spans="1:8" x14ac:dyDescent="0.3">
      <c r="A79" t="s">
        <v>310</v>
      </c>
      <c r="B79">
        <v>500000</v>
      </c>
      <c r="C79">
        <v>15</v>
      </c>
      <c r="D79">
        <v>3177</v>
      </c>
      <c r="E79">
        <v>3174</v>
      </c>
      <c r="F79">
        <v>4134</v>
      </c>
      <c r="G79" t="s">
        <v>365</v>
      </c>
      <c r="H79">
        <f t="shared" si="1"/>
        <v>151.146419525146</v>
      </c>
    </row>
    <row r="80" spans="1:8" x14ac:dyDescent="0.3">
      <c r="A80" t="s">
        <v>310</v>
      </c>
      <c r="B80">
        <v>500000</v>
      </c>
      <c r="C80">
        <v>20</v>
      </c>
      <c r="D80">
        <v>3177</v>
      </c>
      <c r="E80">
        <v>3162</v>
      </c>
      <c r="F80">
        <v>4602</v>
      </c>
      <c r="G80" t="s">
        <v>367</v>
      </c>
      <c r="H80">
        <f t="shared" si="1"/>
        <v>125.42586922645501</v>
      </c>
    </row>
    <row r="81" spans="1:8" x14ac:dyDescent="0.3">
      <c r="A81" t="s">
        <v>310</v>
      </c>
      <c r="B81">
        <v>500000</v>
      </c>
      <c r="C81">
        <v>5</v>
      </c>
      <c r="D81">
        <v>3177</v>
      </c>
      <c r="E81">
        <v>3162</v>
      </c>
      <c r="F81">
        <v>4602</v>
      </c>
      <c r="G81" t="s">
        <v>369</v>
      </c>
      <c r="H81">
        <f t="shared" si="1"/>
        <v>133.349657297134</v>
      </c>
    </row>
    <row r="82" spans="1:8" x14ac:dyDescent="0.3">
      <c r="A82" t="s">
        <v>310</v>
      </c>
      <c r="B82">
        <v>50000</v>
      </c>
      <c r="C82">
        <v>1</v>
      </c>
      <c r="D82">
        <v>3177</v>
      </c>
      <c r="E82">
        <v>3170</v>
      </c>
      <c r="F82">
        <v>4290</v>
      </c>
      <c r="G82" t="s">
        <v>371</v>
      </c>
      <c r="H82">
        <f t="shared" si="1"/>
        <v>11.113141298294</v>
      </c>
    </row>
    <row r="83" spans="1:8" x14ac:dyDescent="0.3">
      <c r="A83" t="s">
        <v>310</v>
      </c>
      <c r="B83">
        <v>50000</v>
      </c>
      <c r="C83">
        <v>10</v>
      </c>
      <c r="D83">
        <v>3177</v>
      </c>
      <c r="E83">
        <v>3171</v>
      </c>
      <c r="F83">
        <v>5031</v>
      </c>
      <c r="G83" t="s">
        <v>373</v>
      </c>
      <c r="H83">
        <f t="shared" si="1"/>
        <v>11.993535518646199</v>
      </c>
    </row>
    <row r="84" spans="1:8" x14ac:dyDescent="0.3">
      <c r="A84" t="s">
        <v>310</v>
      </c>
      <c r="B84">
        <v>50000</v>
      </c>
      <c r="C84">
        <v>15</v>
      </c>
      <c r="D84">
        <v>3177</v>
      </c>
      <c r="E84">
        <v>3168</v>
      </c>
      <c r="F84">
        <v>4368</v>
      </c>
      <c r="G84" t="s">
        <v>375</v>
      </c>
      <c r="H84">
        <f t="shared" si="1"/>
        <v>15.071959257125799</v>
      </c>
    </row>
    <row r="85" spans="1:8" x14ac:dyDescent="0.3">
      <c r="A85" t="s">
        <v>310</v>
      </c>
      <c r="B85">
        <v>50000</v>
      </c>
      <c r="C85">
        <v>20</v>
      </c>
      <c r="D85">
        <v>3177</v>
      </c>
      <c r="E85">
        <v>3162</v>
      </c>
      <c r="F85">
        <v>4602</v>
      </c>
      <c r="G85" t="s">
        <v>377</v>
      </c>
      <c r="H85">
        <f t="shared" si="1"/>
        <v>13.1356954574584</v>
      </c>
    </row>
    <row r="86" spans="1:8" x14ac:dyDescent="0.3">
      <c r="A86" t="s">
        <v>310</v>
      </c>
      <c r="B86">
        <v>50000</v>
      </c>
      <c r="C86">
        <v>5</v>
      </c>
      <c r="D86">
        <v>3177</v>
      </c>
      <c r="E86">
        <v>3166</v>
      </c>
      <c r="F86">
        <v>4446</v>
      </c>
      <c r="G86" t="s">
        <v>379</v>
      </c>
      <c r="H86">
        <f t="shared" si="1"/>
        <v>11.1153483390808</v>
      </c>
    </row>
    <row r="87" spans="1:8" x14ac:dyDescent="0.3">
      <c r="A87" t="s">
        <v>310</v>
      </c>
      <c r="B87">
        <v>5000</v>
      </c>
      <c r="C87">
        <v>1</v>
      </c>
      <c r="D87">
        <v>3177</v>
      </c>
      <c r="E87">
        <v>3177</v>
      </c>
      <c r="F87">
        <v>4797</v>
      </c>
      <c r="G87" t="s">
        <v>381</v>
      </c>
      <c r="H87">
        <f t="shared" si="1"/>
        <v>1.21193099021911</v>
      </c>
    </row>
    <row r="88" spans="1:8" x14ac:dyDescent="0.3">
      <c r="A88" t="s">
        <v>310</v>
      </c>
      <c r="B88">
        <v>5000</v>
      </c>
      <c r="C88">
        <v>10</v>
      </c>
      <c r="D88">
        <v>3177</v>
      </c>
      <c r="E88">
        <v>3173</v>
      </c>
      <c r="F88">
        <v>4953</v>
      </c>
      <c r="G88" t="s">
        <v>383</v>
      </c>
      <c r="H88">
        <f t="shared" si="1"/>
        <v>1.4484531879425</v>
      </c>
    </row>
    <row r="89" spans="1:8" x14ac:dyDescent="0.3">
      <c r="A89" t="s">
        <v>310</v>
      </c>
      <c r="B89">
        <v>5000</v>
      </c>
      <c r="C89">
        <v>15</v>
      </c>
      <c r="D89">
        <v>3177</v>
      </c>
      <c r="E89">
        <v>3160</v>
      </c>
      <c r="F89">
        <v>4680</v>
      </c>
      <c r="G89" t="s">
        <v>385</v>
      </c>
      <c r="H89">
        <f t="shared" si="1"/>
        <v>1.2206552028655999</v>
      </c>
    </row>
    <row r="90" spans="1:8" x14ac:dyDescent="0.3">
      <c r="A90" t="s">
        <v>310</v>
      </c>
      <c r="B90">
        <v>5000</v>
      </c>
      <c r="C90">
        <v>20</v>
      </c>
      <c r="D90">
        <v>3177</v>
      </c>
      <c r="E90">
        <v>3177</v>
      </c>
      <c r="F90">
        <v>4797</v>
      </c>
      <c r="G90" t="s">
        <v>387</v>
      </c>
      <c r="H90">
        <f t="shared" si="1"/>
        <v>1.2179751396179199</v>
      </c>
    </row>
    <row r="91" spans="1:8" x14ac:dyDescent="0.3">
      <c r="A91" t="s">
        <v>310</v>
      </c>
      <c r="B91">
        <v>5000</v>
      </c>
      <c r="C91">
        <v>5</v>
      </c>
      <c r="D91">
        <v>3177</v>
      </c>
      <c r="E91">
        <v>3177</v>
      </c>
      <c r="F91">
        <v>4797</v>
      </c>
      <c r="G91" t="s">
        <v>389</v>
      </c>
      <c r="H91">
        <f t="shared" si="1"/>
        <v>1.3949222564697199</v>
      </c>
    </row>
    <row r="92" spans="1:8" x14ac:dyDescent="0.3">
      <c r="A92" t="s">
        <v>310</v>
      </c>
      <c r="B92">
        <v>500</v>
      </c>
      <c r="C92">
        <v>1</v>
      </c>
      <c r="D92">
        <v>3177</v>
      </c>
      <c r="E92">
        <v>3160</v>
      </c>
      <c r="F92">
        <v>4680</v>
      </c>
      <c r="G92" t="s">
        <v>391</v>
      </c>
      <c r="H92">
        <f t="shared" si="1"/>
        <v>0.10751390457153299</v>
      </c>
    </row>
    <row r="93" spans="1:8" x14ac:dyDescent="0.3">
      <c r="A93" t="s">
        <v>310</v>
      </c>
      <c r="B93">
        <v>500</v>
      </c>
      <c r="C93">
        <v>10</v>
      </c>
      <c r="D93">
        <v>3177</v>
      </c>
      <c r="E93">
        <v>3175</v>
      </c>
      <c r="F93">
        <v>4875</v>
      </c>
      <c r="G93" t="s">
        <v>393</v>
      </c>
      <c r="H93">
        <f t="shared" si="1"/>
        <v>0.121551513671875</v>
      </c>
    </row>
    <row r="94" spans="1:8" x14ac:dyDescent="0.3">
      <c r="A94" t="s">
        <v>310</v>
      </c>
      <c r="B94">
        <v>500</v>
      </c>
      <c r="C94">
        <v>15</v>
      </c>
      <c r="D94">
        <v>3177</v>
      </c>
      <c r="E94">
        <v>3173</v>
      </c>
      <c r="F94">
        <v>4953</v>
      </c>
      <c r="G94" t="s">
        <v>395</v>
      </c>
      <c r="H94">
        <f t="shared" si="1"/>
        <v>0.13614010810852001</v>
      </c>
    </row>
    <row r="95" spans="1:8" x14ac:dyDescent="0.3">
      <c r="A95" t="s">
        <v>310</v>
      </c>
      <c r="B95">
        <v>500</v>
      </c>
      <c r="C95">
        <v>20</v>
      </c>
      <c r="D95">
        <v>3177</v>
      </c>
      <c r="E95">
        <v>3171</v>
      </c>
      <c r="F95">
        <v>5031</v>
      </c>
      <c r="G95" t="s">
        <v>397</v>
      </c>
      <c r="H95">
        <f t="shared" si="1"/>
        <v>0.12754201889038</v>
      </c>
    </row>
    <row r="96" spans="1:8" x14ac:dyDescent="0.3">
      <c r="A96" t="s">
        <v>310</v>
      </c>
      <c r="B96">
        <v>500</v>
      </c>
      <c r="C96">
        <v>5</v>
      </c>
      <c r="D96">
        <v>3177</v>
      </c>
      <c r="E96">
        <v>3171</v>
      </c>
      <c r="F96">
        <v>5031</v>
      </c>
      <c r="G96" t="s">
        <v>399</v>
      </c>
      <c r="H96">
        <f t="shared" si="1"/>
        <v>0.121034383773803</v>
      </c>
    </row>
    <row r="97" spans="1:8" x14ac:dyDescent="0.3">
      <c r="A97" t="s">
        <v>310</v>
      </c>
      <c r="B97">
        <v>50</v>
      </c>
      <c r="C97">
        <v>1</v>
      </c>
      <c r="D97">
        <v>3177</v>
      </c>
      <c r="E97">
        <v>3177</v>
      </c>
      <c r="F97">
        <v>4797</v>
      </c>
      <c r="G97" t="s">
        <v>401</v>
      </c>
      <c r="H97">
        <f t="shared" si="1"/>
        <v>1.1998176574707E-2</v>
      </c>
    </row>
    <row r="98" spans="1:8" x14ac:dyDescent="0.3">
      <c r="A98" t="s">
        <v>310</v>
      </c>
      <c r="B98">
        <v>50</v>
      </c>
      <c r="C98">
        <v>10</v>
      </c>
      <c r="D98">
        <v>3177</v>
      </c>
      <c r="E98">
        <v>3173</v>
      </c>
      <c r="F98">
        <v>4953</v>
      </c>
      <c r="G98" t="s">
        <v>403</v>
      </c>
      <c r="H98">
        <f t="shared" si="1"/>
        <v>1.5033245086669899E-2</v>
      </c>
    </row>
    <row r="99" spans="1:8" x14ac:dyDescent="0.3">
      <c r="A99" t="s">
        <v>310</v>
      </c>
      <c r="B99">
        <v>50</v>
      </c>
      <c r="C99">
        <v>15</v>
      </c>
      <c r="D99">
        <v>3177</v>
      </c>
      <c r="E99">
        <v>3169</v>
      </c>
      <c r="F99">
        <v>5109</v>
      </c>
      <c r="G99" t="s">
        <v>405</v>
      </c>
      <c r="H99">
        <f t="shared" si="1"/>
        <v>1.70750617980957E-2</v>
      </c>
    </row>
    <row r="100" spans="1:8" x14ac:dyDescent="0.3">
      <c r="A100" t="s">
        <v>310</v>
      </c>
      <c r="B100">
        <v>50</v>
      </c>
      <c r="C100">
        <v>20</v>
      </c>
      <c r="D100">
        <v>3177</v>
      </c>
      <c r="E100">
        <v>3175</v>
      </c>
      <c r="F100">
        <v>4875</v>
      </c>
      <c r="G100" t="s">
        <v>407</v>
      </c>
      <c r="H100">
        <f t="shared" si="1"/>
        <v>1.39977931976318E-2</v>
      </c>
    </row>
    <row r="101" spans="1:8" x14ac:dyDescent="0.3">
      <c r="A101" t="s">
        <v>310</v>
      </c>
      <c r="B101">
        <v>50</v>
      </c>
      <c r="C101">
        <v>5</v>
      </c>
      <c r="D101">
        <v>3177</v>
      </c>
      <c r="E101">
        <v>3175</v>
      </c>
      <c r="F101">
        <v>4875</v>
      </c>
      <c r="G101" t="s">
        <v>409</v>
      </c>
      <c r="H101">
        <f t="shared" si="1"/>
        <v>1.3034820556640601E-2</v>
      </c>
    </row>
    <row r="102" spans="1:8" x14ac:dyDescent="0.3">
      <c r="A102" t="s">
        <v>507</v>
      </c>
      <c r="B102">
        <v>1000000</v>
      </c>
      <c r="C102">
        <v>1</v>
      </c>
      <c r="D102">
        <v>4816</v>
      </c>
      <c r="E102">
        <v>4816</v>
      </c>
      <c r="F102">
        <v>4833</v>
      </c>
      <c r="G102" t="s">
        <v>508</v>
      </c>
      <c r="H102">
        <f>IF(ISNUMBER(G102), G102, SUBSTITUTE(G102, ".", ",")*1)</f>
        <v>227.72828865051201</v>
      </c>
    </row>
    <row r="103" spans="1:8" x14ac:dyDescent="0.3">
      <c r="A103" t="s">
        <v>507</v>
      </c>
      <c r="B103">
        <v>1000000</v>
      </c>
      <c r="C103">
        <v>10</v>
      </c>
      <c r="D103">
        <v>4816</v>
      </c>
      <c r="E103">
        <v>4815</v>
      </c>
      <c r="F103">
        <v>4824</v>
      </c>
      <c r="G103" t="s">
        <v>510</v>
      </c>
      <c r="H103">
        <f t="shared" ref="H103:H151" si="2">IF(ISNUMBER(G103), G103, SUBSTITUTE(G103, ".", ",")*1)</f>
        <v>341.485497951507</v>
      </c>
    </row>
    <row r="104" spans="1:8" x14ac:dyDescent="0.3">
      <c r="A104" t="s">
        <v>507</v>
      </c>
      <c r="B104">
        <v>1000000</v>
      </c>
      <c r="C104">
        <v>15</v>
      </c>
      <c r="D104">
        <v>4816</v>
      </c>
      <c r="E104">
        <v>4816</v>
      </c>
      <c r="F104">
        <v>4833</v>
      </c>
      <c r="G104" t="s">
        <v>512</v>
      </c>
      <c r="H104">
        <f t="shared" si="2"/>
        <v>263.70180606842001</v>
      </c>
    </row>
    <row r="105" spans="1:8" x14ac:dyDescent="0.3">
      <c r="A105" t="s">
        <v>507</v>
      </c>
      <c r="B105">
        <v>1000000</v>
      </c>
      <c r="C105">
        <v>20</v>
      </c>
      <c r="D105">
        <v>4816</v>
      </c>
      <c r="E105">
        <v>4816</v>
      </c>
      <c r="F105">
        <v>4830</v>
      </c>
      <c r="G105" t="s">
        <v>514</v>
      </c>
      <c r="H105">
        <f t="shared" si="2"/>
        <v>294.64639520645102</v>
      </c>
    </row>
    <row r="106" spans="1:8" x14ac:dyDescent="0.3">
      <c r="A106" t="s">
        <v>507</v>
      </c>
      <c r="B106">
        <v>1000000</v>
      </c>
      <c r="C106">
        <v>5</v>
      </c>
      <c r="D106">
        <v>4816</v>
      </c>
      <c r="E106">
        <v>4816</v>
      </c>
      <c r="F106">
        <v>4827</v>
      </c>
      <c r="G106" t="s">
        <v>516</v>
      </c>
      <c r="H106">
        <f t="shared" si="2"/>
        <v>244.33393883705099</v>
      </c>
    </row>
    <row r="107" spans="1:8" x14ac:dyDescent="0.3">
      <c r="A107" t="s">
        <v>507</v>
      </c>
      <c r="B107">
        <v>100000</v>
      </c>
      <c r="C107">
        <v>1</v>
      </c>
      <c r="D107">
        <v>4816</v>
      </c>
      <c r="E107">
        <v>4816</v>
      </c>
      <c r="F107">
        <v>4830</v>
      </c>
      <c r="G107" t="s">
        <v>518</v>
      </c>
      <c r="H107">
        <f t="shared" si="2"/>
        <v>20.3865759372711</v>
      </c>
    </row>
    <row r="108" spans="1:8" x14ac:dyDescent="0.3">
      <c r="A108" t="s">
        <v>507</v>
      </c>
      <c r="B108">
        <v>100000</v>
      </c>
      <c r="C108">
        <v>10</v>
      </c>
      <c r="D108">
        <v>4816</v>
      </c>
      <c r="E108">
        <v>4816</v>
      </c>
      <c r="F108">
        <v>4833</v>
      </c>
      <c r="G108" t="s">
        <v>520</v>
      </c>
      <c r="H108">
        <f t="shared" si="2"/>
        <v>25.403378725051802</v>
      </c>
    </row>
    <row r="109" spans="1:8" x14ac:dyDescent="0.3">
      <c r="A109" t="s">
        <v>507</v>
      </c>
      <c r="B109">
        <v>100000</v>
      </c>
      <c r="C109">
        <v>15</v>
      </c>
      <c r="D109">
        <v>4816</v>
      </c>
      <c r="E109">
        <v>4816</v>
      </c>
      <c r="F109">
        <v>4836</v>
      </c>
      <c r="G109" t="s">
        <v>522</v>
      </c>
      <c r="H109">
        <f t="shared" si="2"/>
        <v>25.6683974266052</v>
      </c>
    </row>
    <row r="110" spans="1:8" x14ac:dyDescent="0.3">
      <c r="A110" t="s">
        <v>507</v>
      </c>
      <c r="B110">
        <v>100000</v>
      </c>
      <c r="C110">
        <v>20</v>
      </c>
      <c r="D110">
        <v>4816</v>
      </c>
      <c r="E110">
        <v>4816</v>
      </c>
      <c r="F110">
        <v>4827</v>
      </c>
      <c r="G110" t="s">
        <v>524</v>
      </c>
      <c r="H110">
        <f t="shared" si="2"/>
        <v>27.808832645416199</v>
      </c>
    </row>
    <row r="111" spans="1:8" x14ac:dyDescent="0.3">
      <c r="A111" t="s">
        <v>507</v>
      </c>
      <c r="B111">
        <v>100000</v>
      </c>
      <c r="C111">
        <v>5</v>
      </c>
      <c r="D111">
        <v>4816</v>
      </c>
      <c r="E111">
        <v>4815</v>
      </c>
      <c r="F111">
        <v>4830</v>
      </c>
      <c r="G111" t="s">
        <v>526</v>
      </c>
      <c r="H111">
        <f t="shared" si="2"/>
        <v>24.417730093002302</v>
      </c>
    </row>
    <row r="112" spans="1:8" x14ac:dyDescent="0.3">
      <c r="A112" t="s">
        <v>507</v>
      </c>
      <c r="B112">
        <v>10000</v>
      </c>
      <c r="C112">
        <v>1</v>
      </c>
      <c r="D112">
        <v>4816</v>
      </c>
      <c r="E112">
        <v>4816</v>
      </c>
      <c r="F112">
        <v>4830</v>
      </c>
      <c r="G112" t="s">
        <v>528</v>
      </c>
      <c r="H112">
        <f t="shared" si="2"/>
        <v>2.61156129837036</v>
      </c>
    </row>
    <row r="113" spans="1:8" x14ac:dyDescent="0.3">
      <c r="A113" t="s">
        <v>507</v>
      </c>
      <c r="B113">
        <v>10000</v>
      </c>
      <c r="C113">
        <v>10</v>
      </c>
      <c r="D113">
        <v>4816</v>
      </c>
      <c r="E113">
        <v>4816</v>
      </c>
      <c r="F113">
        <v>4827</v>
      </c>
      <c r="G113" t="s">
        <v>530</v>
      </c>
      <c r="H113">
        <f t="shared" si="2"/>
        <v>2.9723904132843</v>
      </c>
    </row>
    <row r="114" spans="1:8" x14ac:dyDescent="0.3">
      <c r="A114" t="s">
        <v>507</v>
      </c>
      <c r="B114">
        <v>10000</v>
      </c>
      <c r="C114">
        <v>15</v>
      </c>
      <c r="D114">
        <v>4816</v>
      </c>
      <c r="E114">
        <v>4816</v>
      </c>
      <c r="F114">
        <v>4824</v>
      </c>
      <c r="G114" t="s">
        <v>532</v>
      </c>
      <c r="H114">
        <f t="shared" si="2"/>
        <v>2.5260639190673801</v>
      </c>
    </row>
    <row r="115" spans="1:8" x14ac:dyDescent="0.3">
      <c r="A115" t="s">
        <v>507</v>
      </c>
      <c r="B115">
        <v>10000</v>
      </c>
      <c r="C115">
        <v>20</v>
      </c>
      <c r="D115">
        <v>4816</v>
      </c>
      <c r="E115">
        <v>4816</v>
      </c>
      <c r="F115">
        <v>4833</v>
      </c>
      <c r="G115" t="s">
        <v>534</v>
      </c>
      <c r="H115">
        <f t="shared" si="2"/>
        <v>2.4684243202209402</v>
      </c>
    </row>
    <row r="116" spans="1:8" x14ac:dyDescent="0.3">
      <c r="A116" t="s">
        <v>507</v>
      </c>
      <c r="B116">
        <v>10000</v>
      </c>
      <c r="C116">
        <v>5</v>
      </c>
      <c r="D116">
        <v>4816</v>
      </c>
      <c r="E116">
        <v>4816</v>
      </c>
      <c r="F116">
        <v>4836</v>
      </c>
      <c r="G116" t="s">
        <v>536</v>
      </c>
      <c r="H116">
        <f t="shared" si="2"/>
        <v>1.8215749263763401</v>
      </c>
    </row>
    <row r="117" spans="1:8" x14ac:dyDescent="0.3">
      <c r="A117" t="s">
        <v>507</v>
      </c>
      <c r="B117">
        <v>1000</v>
      </c>
      <c r="C117">
        <v>1</v>
      </c>
      <c r="D117">
        <v>4816</v>
      </c>
      <c r="E117">
        <v>4816</v>
      </c>
      <c r="F117">
        <v>4833</v>
      </c>
      <c r="G117" t="s">
        <v>538</v>
      </c>
      <c r="H117">
        <f t="shared" si="2"/>
        <v>0.18861413002014099</v>
      </c>
    </row>
    <row r="118" spans="1:8" x14ac:dyDescent="0.3">
      <c r="A118" t="s">
        <v>507</v>
      </c>
      <c r="B118">
        <v>1000</v>
      </c>
      <c r="C118">
        <v>10</v>
      </c>
      <c r="D118">
        <v>4816</v>
      </c>
      <c r="E118">
        <v>4815</v>
      </c>
      <c r="F118">
        <v>4836</v>
      </c>
      <c r="G118" t="s">
        <v>540</v>
      </c>
      <c r="H118">
        <f t="shared" si="2"/>
        <v>0.34890222549438399</v>
      </c>
    </row>
    <row r="119" spans="1:8" x14ac:dyDescent="0.3">
      <c r="A119" t="s">
        <v>507</v>
      </c>
      <c r="B119">
        <v>1000</v>
      </c>
      <c r="C119">
        <v>15</v>
      </c>
      <c r="D119">
        <v>4816</v>
      </c>
      <c r="E119">
        <v>4816</v>
      </c>
      <c r="F119">
        <v>4833</v>
      </c>
      <c r="G119" t="s">
        <v>542</v>
      </c>
      <c r="H119">
        <f t="shared" si="2"/>
        <v>0.21298742294311501</v>
      </c>
    </row>
    <row r="120" spans="1:8" x14ac:dyDescent="0.3">
      <c r="A120" t="s">
        <v>507</v>
      </c>
      <c r="B120">
        <v>1000</v>
      </c>
      <c r="C120">
        <v>20</v>
      </c>
      <c r="D120">
        <v>4816</v>
      </c>
      <c r="E120">
        <v>4816</v>
      </c>
      <c r="F120">
        <v>4833</v>
      </c>
      <c r="G120" t="s">
        <v>544</v>
      </c>
      <c r="H120">
        <f t="shared" si="2"/>
        <v>0.35015749931335399</v>
      </c>
    </row>
    <row r="121" spans="1:8" x14ac:dyDescent="0.3">
      <c r="A121" t="s">
        <v>507</v>
      </c>
      <c r="B121">
        <v>1000</v>
      </c>
      <c r="C121">
        <v>5</v>
      </c>
      <c r="D121">
        <v>4816</v>
      </c>
      <c r="E121">
        <v>4816</v>
      </c>
      <c r="F121">
        <v>4839</v>
      </c>
      <c r="G121" t="s">
        <v>546</v>
      </c>
      <c r="H121">
        <f t="shared" si="2"/>
        <v>0.24118018150329501</v>
      </c>
    </row>
    <row r="122" spans="1:8" x14ac:dyDescent="0.3">
      <c r="A122" t="s">
        <v>507</v>
      </c>
      <c r="B122">
        <v>100</v>
      </c>
      <c r="C122">
        <v>1</v>
      </c>
      <c r="D122">
        <v>4816</v>
      </c>
      <c r="E122">
        <v>4816</v>
      </c>
      <c r="F122">
        <v>4833</v>
      </c>
      <c r="G122" t="s">
        <v>548</v>
      </c>
      <c r="H122">
        <f t="shared" si="2"/>
        <v>1.7003774642944301E-2</v>
      </c>
    </row>
    <row r="123" spans="1:8" x14ac:dyDescent="0.3">
      <c r="A123" t="s">
        <v>507</v>
      </c>
      <c r="B123">
        <v>100</v>
      </c>
      <c r="C123">
        <v>10</v>
      </c>
      <c r="D123">
        <v>4816</v>
      </c>
      <c r="E123">
        <v>4816</v>
      </c>
      <c r="F123">
        <v>4836</v>
      </c>
      <c r="G123" t="s">
        <v>550</v>
      </c>
      <c r="H123">
        <f t="shared" si="2"/>
        <v>2.0004510879516602E-2</v>
      </c>
    </row>
    <row r="124" spans="1:8" x14ac:dyDescent="0.3">
      <c r="A124" t="s">
        <v>507</v>
      </c>
      <c r="B124">
        <v>100</v>
      </c>
      <c r="C124">
        <v>15</v>
      </c>
      <c r="D124">
        <v>4816</v>
      </c>
      <c r="E124">
        <v>4816</v>
      </c>
      <c r="F124">
        <v>4836</v>
      </c>
      <c r="G124" t="s">
        <v>552</v>
      </c>
      <c r="H124">
        <f t="shared" si="2"/>
        <v>2.30307579040527E-2</v>
      </c>
    </row>
    <row r="125" spans="1:8" x14ac:dyDescent="0.3">
      <c r="A125" t="s">
        <v>507</v>
      </c>
      <c r="B125">
        <v>100</v>
      </c>
      <c r="C125">
        <v>20</v>
      </c>
      <c r="D125">
        <v>4816</v>
      </c>
      <c r="E125">
        <v>4815</v>
      </c>
      <c r="F125">
        <v>4833</v>
      </c>
      <c r="G125" t="s">
        <v>554</v>
      </c>
      <c r="H125">
        <f t="shared" si="2"/>
        <v>2.8173208236694301E-2</v>
      </c>
    </row>
    <row r="126" spans="1:8" x14ac:dyDescent="0.3">
      <c r="A126" t="s">
        <v>507</v>
      </c>
      <c r="B126">
        <v>100</v>
      </c>
      <c r="C126">
        <v>5</v>
      </c>
      <c r="D126">
        <v>4816</v>
      </c>
      <c r="E126">
        <v>4816</v>
      </c>
      <c r="F126">
        <v>4839</v>
      </c>
      <c r="G126" t="s">
        <v>556</v>
      </c>
      <c r="H126">
        <f t="shared" si="2"/>
        <v>1.9033670425415001E-2</v>
      </c>
    </row>
    <row r="127" spans="1:8" x14ac:dyDescent="0.3">
      <c r="A127" t="s">
        <v>507</v>
      </c>
      <c r="B127">
        <v>500000</v>
      </c>
      <c r="C127">
        <v>1</v>
      </c>
      <c r="D127">
        <v>4816</v>
      </c>
      <c r="E127">
        <v>4815</v>
      </c>
      <c r="F127">
        <v>4830</v>
      </c>
      <c r="G127" t="s">
        <v>558</v>
      </c>
      <c r="H127">
        <f t="shared" si="2"/>
        <v>101.434401512146</v>
      </c>
    </row>
    <row r="128" spans="1:8" x14ac:dyDescent="0.3">
      <c r="A128" t="s">
        <v>507</v>
      </c>
      <c r="B128">
        <v>500000</v>
      </c>
      <c r="C128">
        <v>10</v>
      </c>
      <c r="D128">
        <v>4816</v>
      </c>
      <c r="E128">
        <v>4816</v>
      </c>
      <c r="F128">
        <v>4830</v>
      </c>
      <c r="G128" t="s">
        <v>560</v>
      </c>
      <c r="H128">
        <f t="shared" si="2"/>
        <v>115.948993444442</v>
      </c>
    </row>
    <row r="129" spans="1:8" x14ac:dyDescent="0.3">
      <c r="A129" t="s">
        <v>507</v>
      </c>
      <c r="B129">
        <v>500000</v>
      </c>
      <c r="C129">
        <v>15</v>
      </c>
      <c r="D129">
        <v>4816</v>
      </c>
      <c r="E129">
        <v>4816</v>
      </c>
      <c r="F129">
        <v>4827</v>
      </c>
      <c r="G129" t="s">
        <v>562</v>
      </c>
      <c r="H129">
        <f t="shared" si="2"/>
        <v>128.113260746002</v>
      </c>
    </row>
    <row r="130" spans="1:8" x14ac:dyDescent="0.3">
      <c r="A130" t="s">
        <v>507</v>
      </c>
      <c r="B130">
        <v>500000</v>
      </c>
      <c r="C130">
        <v>20</v>
      </c>
      <c r="D130">
        <v>4816</v>
      </c>
      <c r="E130">
        <v>4816</v>
      </c>
      <c r="F130">
        <v>4836</v>
      </c>
      <c r="G130" t="s">
        <v>564</v>
      </c>
      <c r="H130">
        <f t="shared" si="2"/>
        <v>124.586233854293</v>
      </c>
    </row>
    <row r="131" spans="1:8" x14ac:dyDescent="0.3">
      <c r="A131" t="s">
        <v>507</v>
      </c>
      <c r="B131">
        <v>500000</v>
      </c>
      <c r="C131">
        <v>5</v>
      </c>
      <c r="D131">
        <v>4816</v>
      </c>
      <c r="E131">
        <v>4816</v>
      </c>
      <c r="F131">
        <v>4830</v>
      </c>
      <c r="G131" t="s">
        <v>566</v>
      </c>
      <c r="H131">
        <f t="shared" si="2"/>
        <v>137.056037664413</v>
      </c>
    </row>
    <row r="132" spans="1:8" x14ac:dyDescent="0.3">
      <c r="A132" t="s">
        <v>507</v>
      </c>
      <c r="B132">
        <v>50000</v>
      </c>
      <c r="C132">
        <v>1</v>
      </c>
      <c r="D132">
        <v>4816</v>
      </c>
      <c r="E132">
        <v>4816</v>
      </c>
      <c r="F132">
        <v>4827</v>
      </c>
      <c r="G132" t="s">
        <v>568</v>
      </c>
      <c r="H132">
        <f t="shared" si="2"/>
        <v>11.5305199623107</v>
      </c>
    </row>
    <row r="133" spans="1:8" x14ac:dyDescent="0.3">
      <c r="A133" t="s">
        <v>507</v>
      </c>
      <c r="B133">
        <v>50000</v>
      </c>
      <c r="C133">
        <v>10</v>
      </c>
      <c r="D133">
        <v>4816</v>
      </c>
      <c r="E133">
        <v>4816</v>
      </c>
      <c r="F133">
        <v>4833</v>
      </c>
      <c r="G133" t="s">
        <v>570</v>
      </c>
      <c r="H133">
        <f t="shared" si="2"/>
        <v>12.1456987857818</v>
      </c>
    </row>
    <row r="134" spans="1:8" x14ac:dyDescent="0.3">
      <c r="A134" t="s">
        <v>507</v>
      </c>
      <c r="B134">
        <v>50000</v>
      </c>
      <c r="C134">
        <v>15</v>
      </c>
      <c r="D134">
        <v>4816</v>
      </c>
      <c r="E134">
        <v>4816</v>
      </c>
      <c r="F134">
        <v>4824</v>
      </c>
      <c r="G134" t="s">
        <v>572</v>
      </c>
      <c r="H134">
        <f t="shared" si="2"/>
        <v>17.230950832366901</v>
      </c>
    </row>
    <row r="135" spans="1:8" x14ac:dyDescent="0.3">
      <c r="A135" t="s">
        <v>507</v>
      </c>
      <c r="B135">
        <v>50000</v>
      </c>
      <c r="C135">
        <v>20</v>
      </c>
      <c r="D135">
        <v>4816</v>
      </c>
      <c r="E135">
        <v>4816</v>
      </c>
      <c r="F135">
        <v>4827</v>
      </c>
      <c r="G135" t="s">
        <v>574</v>
      </c>
      <c r="H135">
        <f t="shared" si="2"/>
        <v>15.8446266651153</v>
      </c>
    </row>
    <row r="136" spans="1:8" x14ac:dyDescent="0.3">
      <c r="A136" t="s">
        <v>507</v>
      </c>
      <c r="B136">
        <v>50000</v>
      </c>
      <c r="C136">
        <v>5</v>
      </c>
      <c r="D136">
        <v>4816</v>
      </c>
      <c r="E136">
        <v>4816</v>
      </c>
      <c r="F136">
        <v>4830</v>
      </c>
      <c r="G136" t="s">
        <v>576</v>
      </c>
      <c r="H136">
        <f t="shared" si="2"/>
        <v>17.2636234760284</v>
      </c>
    </row>
    <row r="137" spans="1:8" x14ac:dyDescent="0.3">
      <c r="A137" t="s">
        <v>507</v>
      </c>
      <c r="B137">
        <v>5000</v>
      </c>
      <c r="C137">
        <v>1</v>
      </c>
      <c r="D137">
        <v>4816</v>
      </c>
      <c r="E137">
        <v>4816</v>
      </c>
      <c r="F137">
        <v>4833</v>
      </c>
      <c r="G137" t="s">
        <v>578</v>
      </c>
      <c r="H137">
        <f t="shared" si="2"/>
        <v>1.0108113288879299</v>
      </c>
    </row>
    <row r="138" spans="1:8" x14ac:dyDescent="0.3">
      <c r="A138" t="s">
        <v>507</v>
      </c>
      <c r="B138">
        <v>5000</v>
      </c>
      <c r="C138">
        <v>10</v>
      </c>
      <c r="D138">
        <v>4816</v>
      </c>
      <c r="E138">
        <v>4816</v>
      </c>
      <c r="F138">
        <v>4836</v>
      </c>
      <c r="G138" t="s">
        <v>580</v>
      </c>
      <c r="H138">
        <f t="shared" si="2"/>
        <v>0.98829770088195801</v>
      </c>
    </row>
    <row r="139" spans="1:8" x14ac:dyDescent="0.3">
      <c r="A139" t="s">
        <v>507</v>
      </c>
      <c r="B139">
        <v>5000</v>
      </c>
      <c r="C139">
        <v>15</v>
      </c>
      <c r="D139">
        <v>4816</v>
      </c>
      <c r="E139">
        <v>4816</v>
      </c>
      <c r="F139">
        <v>4836</v>
      </c>
      <c r="G139" t="s">
        <v>582</v>
      </c>
      <c r="H139">
        <f t="shared" si="2"/>
        <v>1.2748703956603999</v>
      </c>
    </row>
    <row r="140" spans="1:8" x14ac:dyDescent="0.3">
      <c r="A140" t="s">
        <v>507</v>
      </c>
      <c r="B140">
        <v>5000</v>
      </c>
      <c r="C140">
        <v>20</v>
      </c>
      <c r="D140">
        <v>4816</v>
      </c>
      <c r="E140">
        <v>4816</v>
      </c>
      <c r="F140">
        <v>4836</v>
      </c>
      <c r="G140" t="s">
        <v>584</v>
      </c>
      <c r="H140">
        <f t="shared" si="2"/>
        <v>1.43663954734802</v>
      </c>
    </row>
    <row r="141" spans="1:8" x14ac:dyDescent="0.3">
      <c r="A141" t="s">
        <v>507</v>
      </c>
      <c r="B141">
        <v>5000</v>
      </c>
      <c r="C141">
        <v>5</v>
      </c>
      <c r="D141">
        <v>4816</v>
      </c>
      <c r="E141">
        <v>4816</v>
      </c>
      <c r="F141">
        <v>4833</v>
      </c>
      <c r="G141" t="s">
        <v>586</v>
      </c>
      <c r="H141">
        <f t="shared" si="2"/>
        <v>1.1502051353454501</v>
      </c>
    </row>
    <row r="142" spans="1:8" x14ac:dyDescent="0.3">
      <c r="A142" t="s">
        <v>507</v>
      </c>
      <c r="B142">
        <v>500</v>
      </c>
      <c r="C142">
        <v>1</v>
      </c>
      <c r="D142">
        <v>4816</v>
      </c>
      <c r="E142">
        <v>4816</v>
      </c>
      <c r="F142">
        <v>4836</v>
      </c>
      <c r="G142" t="s">
        <v>588</v>
      </c>
      <c r="H142">
        <f t="shared" si="2"/>
        <v>0.110627174377441</v>
      </c>
    </row>
    <row r="143" spans="1:8" x14ac:dyDescent="0.3">
      <c r="A143" t="s">
        <v>507</v>
      </c>
      <c r="B143">
        <v>500</v>
      </c>
      <c r="C143">
        <v>10</v>
      </c>
      <c r="D143">
        <v>4816</v>
      </c>
      <c r="E143">
        <v>4816</v>
      </c>
      <c r="F143">
        <v>4830</v>
      </c>
      <c r="G143" t="s">
        <v>590</v>
      </c>
      <c r="H143">
        <f t="shared" si="2"/>
        <v>0.223181247711181</v>
      </c>
    </row>
    <row r="144" spans="1:8" x14ac:dyDescent="0.3">
      <c r="A144" t="s">
        <v>507</v>
      </c>
      <c r="B144">
        <v>500</v>
      </c>
      <c r="C144">
        <v>15</v>
      </c>
      <c r="D144">
        <v>4816</v>
      </c>
      <c r="E144">
        <v>4816</v>
      </c>
      <c r="F144">
        <v>4836</v>
      </c>
      <c r="G144" t="s">
        <v>592</v>
      </c>
      <c r="H144">
        <f t="shared" si="2"/>
        <v>0.149232387542724</v>
      </c>
    </row>
    <row r="145" spans="1:8" x14ac:dyDescent="0.3">
      <c r="A145" t="s">
        <v>507</v>
      </c>
      <c r="B145">
        <v>500</v>
      </c>
      <c r="C145">
        <v>20</v>
      </c>
      <c r="D145">
        <v>4816</v>
      </c>
      <c r="E145">
        <v>4816</v>
      </c>
      <c r="F145">
        <v>4833</v>
      </c>
      <c r="G145" t="s">
        <v>594</v>
      </c>
      <c r="H145">
        <f t="shared" si="2"/>
        <v>0.119863748550415</v>
      </c>
    </row>
    <row r="146" spans="1:8" x14ac:dyDescent="0.3">
      <c r="A146" t="s">
        <v>507</v>
      </c>
      <c r="B146">
        <v>500</v>
      </c>
      <c r="C146">
        <v>5</v>
      </c>
      <c r="D146">
        <v>4816</v>
      </c>
      <c r="E146">
        <v>4815</v>
      </c>
      <c r="F146">
        <v>4836</v>
      </c>
      <c r="G146" t="s">
        <v>596</v>
      </c>
      <c r="H146">
        <f t="shared" si="2"/>
        <v>0.10173988342285099</v>
      </c>
    </row>
    <row r="147" spans="1:8" x14ac:dyDescent="0.3">
      <c r="A147" t="s">
        <v>507</v>
      </c>
      <c r="B147">
        <v>50</v>
      </c>
      <c r="C147">
        <v>1</v>
      </c>
      <c r="D147">
        <v>4816</v>
      </c>
      <c r="E147">
        <v>4816</v>
      </c>
      <c r="F147">
        <v>4836</v>
      </c>
      <c r="G147" t="s">
        <v>598</v>
      </c>
      <c r="H147">
        <f t="shared" si="2"/>
        <v>1.10001564025878E-2</v>
      </c>
    </row>
    <row r="148" spans="1:8" x14ac:dyDescent="0.3">
      <c r="A148" t="s">
        <v>507</v>
      </c>
      <c r="B148">
        <v>50</v>
      </c>
      <c r="C148">
        <v>10</v>
      </c>
      <c r="D148">
        <v>4816</v>
      </c>
      <c r="E148">
        <v>4816</v>
      </c>
      <c r="F148">
        <v>4833</v>
      </c>
      <c r="G148" t="s">
        <v>600</v>
      </c>
      <c r="H148">
        <f t="shared" si="2"/>
        <v>1.6997098922729399E-2</v>
      </c>
    </row>
    <row r="149" spans="1:8" x14ac:dyDescent="0.3">
      <c r="A149" t="s">
        <v>507</v>
      </c>
      <c r="B149">
        <v>50</v>
      </c>
      <c r="C149">
        <v>15</v>
      </c>
      <c r="D149">
        <v>4816</v>
      </c>
      <c r="E149">
        <v>4816</v>
      </c>
      <c r="F149">
        <v>4833</v>
      </c>
      <c r="G149" t="s">
        <v>598</v>
      </c>
      <c r="H149">
        <f t="shared" si="2"/>
        <v>1.10001564025878E-2</v>
      </c>
    </row>
    <row r="150" spans="1:8" x14ac:dyDescent="0.3">
      <c r="A150" t="s">
        <v>507</v>
      </c>
      <c r="B150">
        <v>50</v>
      </c>
      <c r="C150">
        <v>20</v>
      </c>
      <c r="D150">
        <v>4816</v>
      </c>
      <c r="E150">
        <v>4816</v>
      </c>
      <c r="F150">
        <v>4833</v>
      </c>
      <c r="G150" t="s">
        <v>603</v>
      </c>
      <c r="H150">
        <f t="shared" si="2"/>
        <v>1.0094165802001899E-2</v>
      </c>
    </row>
    <row r="151" spans="1:8" x14ac:dyDescent="0.3">
      <c r="A151" t="s">
        <v>507</v>
      </c>
      <c r="B151">
        <v>50</v>
      </c>
      <c r="C151">
        <v>5</v>
      </c>
      <c r="D151">
        <v>4816</v>
      </c>
      <c r="E151">
        <v>4816</v>
      </c>
      <c r="F151">
        <v>4830</v>
      </c>
      <c r="G151" t="s">
        <v>605</v>
      </c>
      <c r="H151">
        <f t="shared" si="2"/>
        <v>9.1185569763183004E-3</v>
      </c>
    </row>
  </sheetData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1CA9-2B61-423B-B2E5-843F43B06139}">
  <dimension ref="A1:K151"/>
  <sheetViews>
    <sheetView tabSelected="1" topLeftCell="F151" workbookViewId="0">
      <selection activeCell="J4" sqref="J4:K15"/>
    </sheetView>
  </sheetViews>
  <sheetFormatPr baseColWidth="10" defaultRowHeight="14.4" x14ac:dyDescent="0.3"/>
  <cols>
    <col min="1" max="1" width="22.77734375" bestFit="1" customWidth="1"/>
    <col min="2" max="2" width="19.1093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12" bestFit="1" customWidth="1"/>
    <col min="10" max="10" width="19.5546875" bestFit="1" customWidth="1"/>
    <col min="11" max="11" width="16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102</v>
      </c>
    </row>
    <row r="2" spans="1:11" x14ac:dyDescent="0.3">
      <c r="A2" t="s">
        <v>607</v>
      </c>
      <c r="B2">
        <v>1000000</v>
      </c>
      <c r="C2">
        <v>1</v>
      </c>
      <c r="D2">
        <v>45132</v>
      </c>
      <c r="E2">
        <v>45120</v>
      </c>
      <c r="F2">
        <v>41228</v>
      </c>
      <c r="G2" t="s">
        <v>608</v>
      </c>
      <c r="H2">
        <f t="shared" ref="H2:H65" si="0">IF(ISNUMBER(G2), G2, SUBSTITUTE(G2, ".", ",")*1)</f>
        <v>5738.0940256118702</v>
      </c>
    </row>
    <row r="3" spans="1:11" x14ac:dyDescent="0.3">
      <c r="A3" t="s">
        <v>607</v>
      </c>
      <c r="B3">
        <v>1000000</v>
      </c>
      <c r="C3">
        <v>10</v>
      </c>
      <c r="D3">
        <v>45132</v>
      </c>
      <c r="E3">
        <v>45115</v>
      </c>
      <c r="F3">
        <v>41615</v>
      </c>
      <c r="G3" t="s">
        <v>610</v>
      </c>
      <c r="H3">
        <f t="shared" si="0"/>
        <v>7653.2118065357199</v>
      </c>
    </row>
    <row r="4" spans="1:11" x14ac:dyDescent="0.3">
      <c r="A4" t="s">
        <v>607</v>
      </c>
      <c r="B4">
        <v>1000000</v>
      </c>
      <c r="C4">
        <v>15</v>
      </c>
      <c r="D4">
        <v>45132</v>
      </c>
      <c r="E4">
        <v>45126</v>
      </c>
      <c r="F4">
        <v>41850</v>
      </c>
      <c r="G4" t="s">
        <v>612</v>
      </c>
      <c r="H4">
        <f t="shared" si="0"/>
        <v>6830.5270066261201</v>
      </c>
      <c r="J4" s="1" t="s">
        <v>105</v>
      </c>
      <c r="K4" t="s">
        <v>949</v>
      </c>
    </row>
    <row r="5" spans="1:11" x14ac:dyDescent="0.3">
      <c r="A5" t="s">
        <v>607</v>
      </c>
      <c r="B5">
        <v>1000000</v>
      </c>
      <c r="C5">
        <v>20</v>
      </c>
      <c r="D5">
        <v>45132</v>
      </c>
      <c r="E5">
        <v>45103</v>
      </c>
      <c r="F5">
        <v>41729</v>
      </c>
      <c r="G5" t="s">
        <v>614</v>
      </c>
      <c r="H5">
        <f t="shared" si="0"/>
        <v>7537.8804440498297</v>
      </c>
      <c r="J5" s="2">
        <v>50</v>
      </c>
      <c r="K5" s="3">
        <v>0.34834923744201612</v>
      </c>
    </row>
    <row r="6" spans="1:11" x14ac:dyDescent="0.3">
      <c r="A6" t="s">
        <v>607</v>
      </c>
      <c r="B6">
        <v>1000000</v>
      </c>
      <c r="C6">
        <v>5</v>
      </c>
      <c r="D6">
        <v>45132</v>
      </c>
      <c r="E6">
        <v>45103</v>
      </c>
      <c r="F6">
        <v>41729</v>
      </c>
      <c r="G6" t="s">
        <v>616</v>
      </c>
      <c r="H6">
        <f t="shared" si="0"/>
        <v>7088.7498173713602</v>
      </c>
      <c r="J6" s="2">
        <v>100</v>
      </c>
      <c r="K6" s="3">
        <v>0.70138627688089938</v>
      </c>
    </row>
    <row r="7" spans="1:11" x14ac:dyDescent="0.3">
      <c r="A7" t="s">
        <v>607</v>
      </c>
      <c r="B7">
        <v>100000</v>
      </c>
      <c r="C7">
        <v>1</v>
      </c>
      <c r="D7">
        <v>45132</v>
      </c>
      <c r="E7">
        <v>45102</v>
      </c>
      <c r="F7">
        <v>42078</v>
      </c>
      <c r="G7" t="s">
        <v>618</v>
      </c>
      <c r="H7">
        <f t="shared" si="0"/>
        <v>533.975054979324</v>
      </c>
      <c r="J7" s="2">
        <v>500</v>
      </c>
      <c r="K7" s="3">
        <v>3.7021094957987426</v>
      </c>
    </row>
    <row r="8" spans="1:11" x14ac:dyDescent="0.3">
      <c r="A8" t="s">
        <v>607</v>
      </c>
      <c r="B8">
        <v>100000</v>
      </c>
      <c r="C8">
        <v>10</v>
      </c>
      <c r="D8">
        <v>45132</v>
      </c>
      <c r="E8">
        <v>45106</v>
      </c>
      <c r="F8">
        <v>42040</v>
      </c>
      <c r="G8" t="s">
        <v>620</v>
      </c>
      <c r="H8">
        <f t="shared" si="0"/>
        <v>563.54561185836701</v>
      </c>
      <c r="J8" s="2">
        <v>1000</v>
      </c>
      <c r="K8" s="3">
        <v>6.9650863965352316</v>
      </c>
    </row>
    <row r="9" spans="1:11" x14ac:dyDescent="0.3">
      <c r="A9" t="s">
        <v>607</v>
      </c>
      <c r="B9">
        <v>100000</v>
      </c>
      <c r="C9">
        <v>15</v>
      </c>
      <c r="D9">
        <v>45132</v>
      </c>
      <c r="E9">
        <v>45120</v>
      </c>
      <c r="F9">
        <v>41228</v>
      </c>
      <c r="G9" t="s">
        <v>622</v>
      </c>
      <c r="H9">
        <f t="shared" si="0"/>
        <v>620.33230471611</v>
      </c>
      <c r="J9" s="2">
        <v>5000</v>
      </c>
      <c r="K9" s="3">
        <v>34.39934741655982</v>
      </c>
    </row>
    <row r="10" spans="1:11" x14ac:dyDescent="0.3">
      <c r="A10" t="s">
        <v>607</v>
      </c>
      <c r="B10">
        <v>100000</v>
      </c>
      <c r="C10">
        <v>20</v>
      </c>
      <c r="D10">
        <v>45132</v>
      </c>
      <c r="E10">
        <v>45122</v>
      </c>
      <c r="F10">
        <v>40530</v>
      </c>
      <c r="G10" t="s">
        <v>624</v>
      </c>
      <c r="H10">
        <f t="shared" si="0"/>
        <v>628.82846164703301</v>
      </c>
      <c r="J10" s="2">
        <v>10000</v>
      </c>
      <c r="K10" s="3">
        <v>67.005166053771944</v>
      </c>
    </row>
    <row r="11" spans="1:11" x14ac:dyDescent="0.3">
      <c r="A11" t="s">
        <v>607</v>
      </c>
      <c r="B11">
        <v>100000</v>
      </c>
      <c r="C11">
        <v>5</v>
      </c>
      <c r="D11">
        <v>45132</v>
      </c>
      <c r="E11">
        <v>45118</v>
      </c>
      <c r="F11">
        <v>41926</v>
      </c>
      <c r="G11" t="s">
        <v>626</v>
      </c>
      <c r="H11">
        <f t="shared" si="0"/>
        <v>557.23858928680397</v>
      </c>
      <c r="J11" s="2">
        <v>50000</v>
      </c>
      <c r="K11" s="3">
        <v>331.7023353576655</v>
      </c>
    </row>
    <row r="12" spans="1:11" x14ac:dyDescent="0.3">
      <c r="A12" t="s">
        <v>607</v>
      </c>
      <c r="B12">
        <v>10000</v>
      </c>
      <c r="C12">
        <v>1</v>
      </c>
      <c r="D12">
        <v>45132</v>
      </c>
      <c r="E12">
        <v>45126</v>
      </c>
      <c r="F12">
        <v>41850</v>
      </c>
      <c r="G12" t="s">
        <v>628</v>
      </c>
      <c r="H12">
        <f t="shared" si="0"/>
        <v>54.791724443435598</v>
      </c>
      <c r="J12" s="2">
        <v>100000</v>
      </c>
      <c r="K12" s="3">
        <v>644.29017273584964</v>
      </c>
    </row>
    <row r="13" spans="1:11" x14ac:dyDescent="0.3">
      <c r="A13" t="s">
        <v>607</v>
      </c>
      <c r="B13">
        <v>10000</v>
      </c>
      <c r="C13">
        <v>10</v>
      </c>
      <c r="D13">
        <v>45132</v>
      </c>
      <c r="E13">
        <v>45104</v>
      </c>
      <c r="F13">
        <v>41380</v>
      </c>
      <c r="G13" t="s">
        <v>630</v>
      </c>
      <c r="H13">
        <f t="shared" si="0"/>
        <v>61.280794382095301</v>
      </c>
      <c r="J13" s="2">
        <v>500000</v>
      </c>
      <c r="K13" s="3">
        <v>3091.1012192726093</v>
      </c>
    </row>
    <row r="14" spans="1:11" x14ac:dyDescent="0.3">
      <c r="A14" t="s">
        <v>607</v>
      </c>
      <c r="B14">
        <v>10000</v>
      </c>
      <c r="C14">
        <v>15</v>
      </c>
      <c r="D14">
        <v>45132</v>
      </c>
      <c r="E14">
        <v>45110</v>
      </c>
      <c r="F14">
        <v>42002</v>
      </c>
      <c r="G14" t="s">
        <v>632</v>
      </c>
      <c r="H14">
        <f t="shared" si="0"/>
        <v>55.409912109375</v>
      </c>
      <c r="J14" s="2">
        <v>1000000</v>
      </c>
      <c r="K14" s="3">
        <v>6400.4873672803187</v>
      </c>
    </row>
    <row r="15" spans="1:11" x14ac:dyDescent="0.3">
      <c r="A15" t="s">
        <v>607</v>
      </c>
      <c r="B15">
        <v>10000</v>
      </c>
      <c r="C15">
        <v>20</v>
      </c>
      <c r="D15">
        <v>45132</v>
      </c>
      <c r="E15">
        <v>45129</v>
      </c>
      <c r="F15">
        <v>42161</v>
      </c>
      <c r="G15" t="s">
        <v>634</v>
      </c>
      <c r="H15">
        <f t="shared" si="0"/>
        <v>59.224606752395601</v>
      </c>
      <c r="J15" s="2" t="s">
        <v>106</v>
      </c>
      <c r="K15" s="3">
        <v>1058.0702539523434</v>
      </c>
    </row>
    <row r="16" spans="1:11" x14ac:dyDescent="0.3">
      <c r="A16" t="s">
        <v>607</v>
      </c>
      <c r="B16">
        <v>10000</v>
      </c>
      <c r="C16">
        <v>5</v>
      </c>
      <c r="D16">
        <v>45132</v>
      </c>
      <c r="E16">
        <v>45132</v>
      </c>
      <c r="F16">
        <v>41114</v>
      </c>
      <c r="G16" t="s">
        <v>636</v>
      </c>
      <c r="H16">
        <f t="shared" si="0"/>
        <v>58.187979221344001</v>
      </c>
    </row>
    <row r="17" spans="1:8" x14ac:dyDescent="0.3">
      <c r="A17" t="s">
        <v>607</v>
      </c>
      <c r="B17">
        <v>1000</v>
      </c>
      <c r="C17">
        <v>1</v>
      </c>
      <c r="D17">
        <v>45132</v>
      </c>
      <c r="E17">
        <v>45106</v>
      </c>
      <c r="F17">
        <v>42040</v>
      </c>
      <c r="G17" t="s">
        <v>638</v>
      </c>
      <c r="H17">
        <f t="shared" si="0"/>
        <v>5.3021111488342196</v>
      </c>
    </row>
    <row r="18" spans="1:8" x14ac:dyDescent="0.3">
      <c r="A18" t="s">
        <v>607</v>
      </c>
      <c r="B18">
        <v>1000</v>
      </c>
      <c r="C18">
        <v>10</v>
      </c>
      <c r="D18">
        <v>45132</v>
      </c>
      <c r="E18">
        <v>45106</v>
      </c>
      <c r="F18">
        <v>42040</v>
      </c>
      <c r="G18" t="s">
        <v>640</v>
      </c>
      <c r="H18">
        <f t="shared" si="0"/>
        <v>5.9928936958312899</v>
      </c>
    </row>
    <row r="19" spans="1:8" x14ac:dyDescent="0.3">
      <c r="A19" t="s">
        <v>607</v>
      </c>
      <c r="B19">
        <v>1000</v>
      </c>
      <c r="C19">
        <v>15</v>
      </c>
      <c r="D19">
        <v>45132</v>
      </c>
      <c r="E19">
        <v>45114</v>
      </c>
      <c r="F19">
        <v>41964</v>
      </c>
      <c r="G19" t="s">
        <v>642</v>
      </c>
      <c r="H19">
        <f t="shared" si="0"/>
        <v>6.0485684871673504</v>
      </c>
    </row>
    <row r="20" spans="1:8" x14ac:dyDescent="0.3">
      <c r="A20" t="s">
        <v>607</v>
      </c>
      <c r="B20">
        <v>1000</v>
      </c>
      <c r="C20">
        <v>20</v>
      </c>
      <c r="D20">
        <v>45132</v>
      </c>
      <c r="E20">
        <v>45122</v>
      </c>
      <c r="F20">
        <v>41888</v>
      </c>
      <c r="G20" t="s">
        <v>644</v>
      </c>
      <c r="H20">
        <f t="shared" si="0"/>
        <v>5.8622932434081996</v>
      </c>
    </row>
    <row r="21" spans="1:8" x14ac:dyDescent="0.3">
      <c r="A21" t="s">
        <v>607</v>
      </c>
      <c r="B21">
        <v>1000</v>
      </c>
      <c r="C21">
        <v>5</v>
      </c>
      <c r="D21">
        <v>45132</v>
      </c>
      <c r="E21">
        <v>45125</v>
      </c>
      <c r="F21">
        <v>42199</v>
      </c>
      <c r="G21" t="s">
        <v>646</v>
      </c>
      <c r="H21">
        <f t="shared" si="0"/>
        <v>5.1473512649536097</v>
      </c>
    </row>
    <row r="22" spans="1:8" x14ac:dyDescent="0.3">
      <c r="A22" t="s">
        <v>607</v>
      </c>
      <c r="B22">
        <v>100</v>
      </c>
      <c r="C22">
        <v>1</v>
      </c>
      <c r="D22">
        <v>45132</v>
      </c>
      <c r="E22">
        <v>45130</v>
      </c>
      <c r="F22">
        <v>41812</v>
      </c>
      <c r="G22" t="s">
        <v>648</v>
      </c>
      <c r="H22">
        <f t="shared" si="0"/>
        <v>0.55197405815124501</v>
      </c>
    </row>
    <row r="23" spans="1:8" x14ac:dyDescent="0.3">
      <c r="A23" t="s">
        <v>607</v>
      </c>
      <c r="B23">
        <v>100</v>
      </c>
      <c r="C23">
        <v>10</v>
      </c>
      <c r="D23">
        <v>45132</v>
      </c>
      <c r="E23">
        <v>45118</v>
      </c>
      <c r="F23">
        <v>41926</v>
      </c>
      <c r="G23" t="s">
        <v>650</v>
      </c>
      <c r="H23">
        <f t="shared" si="0"/>
        <v>0.498184204101562</v>
      </c>
    </row>
    <row r="24" spans="1:8" x14ac:dyDescent="0.3">
      <c r="A24" t="s">
        <v>607</v>
      </c>
      <c r="B24">
        <v>100</v>
      </c>
      <c r="C24">
        <v>15</v>
      </c>
      <c r="D24">
        <v>45132</v>
      </c>
      <c r="E24">
        <v>45118</v>
      </c>
      <c r="F24">
        <v>41926</v>
      </c>
      <c r="G24" t="s">
        <v>652</v>
      </c>
      <c r="H24">
        <f t="shared" si="0"/>
        <v>0.59089541435241699</v>
      </c>
    </row>
    <row r="25" spans="1:8" x14ac:dyDescent="0.3">
      <c r="A25" t="s">
        <v>607</v>
      </c>
      <c r="B25">
        <v>100</v>
      </c>
      <c r="C25">
        <v>20</v>
      </c>
      <c r="D25">
        <v>45132</v>
      </c>
      <c r="E25">
        <v>45121</v>
      </c>
      <c r="F25">
        <v>42237</v>
      </c>
      <c r="G25" t="s">
        <v>654</v>
      </c>
      <c r="H25">
        <f t="shared" si="0"/>
        <v>0.66374969482421797</v>
      </c>
    </row>
    <row r="26" spans="1:8" x14ac:dyDescent="0.3">
      <c r="A26" t="s">
        <v>607</v>
      </c>
      <c r="B26">
        <v>100</v>
      </c>
      <c r="C26">
        <v>5</v>
      </c>
      <c r="D26">
        <v>45132</v>
      </c>
      <c r="E26">
        <v>45127</v>
      </c>
      <c r="F26">
        <v>42859</v>
      </c>
      <c r="G26" t="s">
        <v>656</v>
      </c>
      <c r="H26">
        <f t="shared" si="0"/>
        <v>0.56095457077026301</v>
      </c>
    </row>
    <row r="27" spans="1:8" x14ac:dyDescent="0.3">
      <c r="A27" t="s">
        <v>607</v>
      </c>
      <c r="B27">
        <v>500000</v>
      </c>
      <c r="C27">
        <v>1</v>
      </c>
      <c r="D27">
        <v>45132</v>
      </c>
      <c r="E27">
        <v>45117</v>
      </c>
      <c r="F27">
        <v>40917</v>
      </c>
      <c r="G27" t="s">
        <v>658</v>
      </c>
      <c r="H27">
        <f t="shared" si="0"/>
        <v>3163.2352592945099</v>
      </c>
    </row>
    <row r="28" spans="1:8" x14ac:dyDescent="0.3">
      <c r="A28" t="s">
        <v>607</v>
      </c>
      <c r="B28">
        <v>500000</v>
      </c>
      <c r="C28">
        <v>10</v>
      </c>
      <c r="D28">
        <v>45132</v>
      </c>
      <c r="E28">
        <v>45118</v>
      </c>
      <c r="F28">
        <v>40568</v>
      </c>
      <c r="G28" t="s">
        <v>660</v>
      </c>
      <c r="H28">
        <f t="shared" si="0"/>
        <v>2884.5740199089</v>
      </c>
    </row>
    <row r="29" spans="1:8" x14ac:dyDescent="0.3">
      <c r="A29" t="s">
        <v>607</v>
      </c>
      <c r="B29">
        <v>500000</v>
      </c>
      <c r="C29">
        <v>15</v>
      </c>
      <c r="D29">
        <v>45132</v>
      </c>
      <c r="E29">
        <v>45128</v>
      </c>
      <c r="F29">
        <v>41152</v>
      </c>
      <c r="G29" t="s">
        <v>662</v>
      </c>
      <c r="H29">
        <f t="shared" si="0"/>
        <v>2891.4313554763698</v>
      </c>
    </row>
    <row r="30" spans="1:8" x14ac:dyDescent="0.3">
      <c r="A30" t="s">
        <v>607</v>
      </c>
      <c r="B30">
        <v>500000</v>
      </c>
      <c r="C30">
        <v>20</v>
      </c>
      <c r="D30">
        <v>45132</v>
      </c>
      <c r="E30">
        <v>45127</v>
      </c>
      <c r="F30">
        <v>41501</v>
      </c>
      <c r="G30" t="s">
        <v>664</v>
      </c>
      <c r="H30">
        <f t="shared" si="0"/>
        <v>3018.80252599716</v>
      </c>
    </row>
    <row r="31" spans="1:8" x14ac:dyDescent="0.3">
      <c r="A31" t="s">
        <v>607</v>
      </c>
      <c r="B31">
        <v>500000</v>
      </c>
      <c r="C31">
        <v>5</v>
      </c>
      <c r="D31">
        <v>45132</v>
      </c>
      <c r="E31">
        <v>45103</v>
      </c>
      <c r="F31">
        <v>41729</v>
      </c>
      <c r="G31" t="s">
        <v>666</v>
      </c>
      <c r="H31">
        <f t="shared" si="0"/>
        <v>2712.39259314537</v>
      </c>
    </row>
    <row r="32" spans="1:8" x14ac:dyDescent="0.3">
      <c r="A32" t="s">
        <v>607</v>
      </c>
      <c r="B32">
        <v>50000</v>
      </c>
      <c r="C32">
        <v>1</v>
      </c>
      <c r="D32">
        <v>45132</v>
      </c>
      <c r="E32">
        <v>45105</v>
      </c>
      <c r="F32">
        <v>42389</v>
      </c>
      <c r="G32" t="s">
        <v>668</v>
      </c>
      <c r="H32">
        <f t="shared" si="0"/>
        <v>257.00438022613503</v>
      </c>
    </row>
    <row r="33" spans="1:8" x14ac:dyDescent="0.3">
      <c r="A33" t="s">
        <v>607</v>
      </c>
      <c r="B33">
        <v>50000</v>
      </c>
      <c r="C33">
        <v>10</v>
      </c>
      <c r="D33">
        <v>45132</v>
      </c>
      <c r="E33">
        <v>45119</v>
      </c>
      <c r="F33">
        <v>41577</v>
      </c>
      <c r="G33" t="s">
        <v>670</v>
      </c>
      <c r="H33">
        <f t="shared" si="0"/>
        <v>280.20613670349098</v>
      </c>
    </row>
    <row r="34" spans="1:8" x14ac:dyDescent="0.3">
      <c r="A34" t="s">
        <v>607</v>
      </c>
      <c r="B34">
        <v>50000</v>
      </c>
      <c r="C34">
        <v>15</v>
      </c>
      <c r="D34">
        <v>45132</v>
      </c>
      <c r="E34">
        <v>45100</v>
      </c>
      <c r="F34">
        <v>41418</v>
      </c>
      <c r="G34" t="s">
        <v>672</v>
      </c>
      <c r="H34">
        <f t="shared" si="0"/>
        <v>341.36445689201298</v>
      </c>
    </row>
    <row r="35" spans="1:8" x14ac:dyDescent="0.3">
      <c r="A35" t="s">
        <v>607</v>
      </c>
      <c r="B35">
        <v>50000</v>
      </c>
      <c r="C35">
        <v>20</v>
      </c>
      <c r="D35">
        <v>45132</v>
      </c>
      <c r="E35">
        <v>45130</v>
      </c>
      <c r="F35">
        <v>41812</v>
      </c>
      <c r="G35" t="s">
        <v>674</v>
      </c>
      <c r="H35">
        <f t="shared" si="0"/>
        <v>303.13228058815002</v>
      </c>
    </row>
    <row r="36" spans="1:8" x14ac:dyDescent="0.3">
      <c r="A36" t="s">
        <v>607</v>
      </c>
      <c r="B36">
        <v>50000</v>
      </c>
      <c r="C36">
        <v>5</v>
      </c>
      <c r="D36">
        <v>45132</v>
      </c>
      <c r="E36">
        <v>45105</v>
      </c>
      <c r="F36">
        <v>41031</v>
      </c>
      <c r="G36" t="s">
        <v>676</v>
      </c>
      <c r="H36">
        <f t="shared" si="0"/>
        <v>277.540341854095</v>
      </c>
    </row>
    <row r="37" spans="1:8" x14ac:dyDescent="0.3">
      <c r="A37" t="s">
        <v>607</v>
      </c>
      <c r="B37">
        <v>5000</v>
      </c>
      <c r="C37">
        <v>1</v>
      </c>
      <c r="D37">
        <v>45132</v>
      </c>
      <c r="E37">
        <v>45109</v>
      </c>
      <c r="F37">
        <v>42351</v>
      </c>
      <c r="G37" t="s">
        <v>678</v>
      </c>
      <c r="H37">
        <f t="shared" si="0"/>
        <v>25.894452810287401</v>
      </c>
    </row>
    <row r="38" spans="1:8" x14ac:dyDescent="0.3">
      <c r="A38" t="s">
        <v>607</v>
      </c>
      <c r="B38">
        <v>5000</v>
      </c>
      <c r="C38">
        <v>10</v>
      </c>
      <c r="D38">
        <v>45132</v>
      </c>
      <c r="E38">
        <v>45117</v>
      </c>
      <c r="F38">
        <v>42275</v>
      </c>
      <c r="G38" t="s">
        <v>680</v>
      </c>
      <c r="H38">
        <f t="shared" si="0"/>
        <v>29.2493028640747</v>
      </c>
    </row>
    <row r="39" spans="1:8" x14ac:dyDescent="0.3">
      <c r="A39" t="s">
        <v>607</v>
      </c>
      <c r="B39">
        <v>5000</v>
      </c>
      <c r="C39">
        <v>15</v>
      </c>
      <c r="D39">
        <v>45132</v>
      </c>
      <c r="E39">
        <v>45114</v>
      </c>
      <c r="F39">
        <v>41964</v>
      </c>
      <c r="G39" t="s">
        <v>682</v>
      </c>
      <c r="H39">
        <f t="shared" si="0"/>
        <v>28.646522521972599</v>
      </c>
    </row>
    <row r="40" spans="1:8" x14ac:dyDescent="0.3">
      <c r="A40" t="s">
        <v>607</v>
      </c>
      <c r="B40">
        <v>5000</v>
      </c>
      <c r="C40">
        <v>20</v>
      </c>
      <c r="D40">
        <v>45132</v>
      </c>
      <c r="E40">
        <v>45125</v>
      </c>
      <c r="F40">
        <v>42199</v>
      </c>
      <c r="G40" t="s">
        <v>684</v>
      </c>
      <c r="H40">
        <f t="shared" si="0"/>
        <v>27.1292965412139</v>
      </c>
    </row>
    <row r="41" spans="1:8" x14ac:dyDescent="0.3">
      <c r="A41" t="s">
        <v>607</v>
      </c>
      <c r="B41">
        <v>5000</v>
      </c>
      <c r="C41">
        <v>5</v>
      </c>
      <c r="D41">
        <v>45132</v>
      </c>
      <c r="E41">
        <v>45129</v>
      </c>
      <c r="F41">
        <v>42161</v>
      </c>
      <c r="G41" t="s">
        <v>686</v>
      </c>
      <c r="H41">
        <f t="shared" si="0"/>
        <v>29.7490377426147</v>
      </c>
    </row>
    <row r="42" spans="1:8" x14ac:dyDescent="0.3">
      <c r="A42" t="s">
        <v>607</v>
      </c>
      <c r="B42">
        <v>500</v>
      </c>
      <c r="C42">
        <v>1</v>
      </c>
      <c r="D42">
        <v>45132</v>
      </c>
      <c r="E42">
        <v>45117</v>
      </c>
      <c r="F42">
        <v>42275</v>
      </c>
      <c r="G42" t="s">
        <v>688</v>
      </c>
      <c r="H42">
        <f t="shared" si="0"/>
        <v>2.6349225044250399</v>
      </c>
    </row>
    <row r="43" spans="1:8" x14ac:dyDescent="0.3">
      <c r="A43" t="s">
        <v>607</v>
      </c>
      <c r="B43">
        <v>500</v>
      </c>
      <c r="C43">
        <v>10</v>
      </c>
      <c r="D43">
        <v>45132</v>
      </c>
      <c r="E43">
        <v>45120</v>
      </c>
      <c r="F43">
        <v>42586</v>
      </c>
      <c r="G43" t="s">
        <v>690</v>
      </c>
      <c r="H43">
        <f t="shared" si="0"/>
        <v>2.9378015995025599</v>
      </c>
    </row>
    <row r="44" spans="1:8" x14ac:dyDescent="0.3">
      <c r="A44" t="s">
        <v>607</v>
      </c>
      <c r="B44">
        <v>500</v>
      </c>
      <c r="C44">
        <v>15</v>
      </c>
      <c r="D44">
        <v>45132</v>
      </c>
      <c r="E44">
        <v>45114</v>
      </c>
      <c r="F44">
        <v>41964</v>
      </c>
      <c r="G44" t="s">
        <v>692</v>
      </c>
      <c r="H44">
        <f t="shared" si="0"/>
        <v>2.9676554203033398</v>
      </c>
    </row>
    <row r="45" spans="1:8" x14ac:dyDescent="0.3">
      <c r="A45" t="s">
        <v>607</v>
      </c>
      <c r="B45">
        <v>500</v>
      </c>
      <c r="C45">
        <v>20</v>
      </c>
      <c r="D45">
        <v>45132</v>
      </c>
      <c r="E45">
        <v>45122</v>
      </c>
      <c r="F45">
        <v>41888</v>
      </c>
      <c r="G45" t="s">
        <v>694</v>
      </c>
      <c r="H45">
        <f t="shared" si="0"/>
        <v>3.1270980834960902</v>
      </c>
    </row>
    <row r="46" spans="1:8" x14ac:dyDescent="0.3">
      <c r="A46" t="s">
        <v>607</v>
      </c>
      <c r="B46">
        <v>500</v>
      </c>
      <c r="C46">
        <v>5</v>
      </c>
      <c r="D46">
        <v>45132</v>
      </c>
      <c r="E46">
        <v>45132</v>
      </c>
      <c r="F46">
        <v>42472</v>
      </c>
      <c r="G46" t="s">
        <v>696</v>
      </c>
      <c r="H46">
        <f t="shared" si="0"/>
        <v>2.7156744003295898</v>
      </c>
    </row>
    <row r="47" spans="1:8" x14ac:dyDescent="0.3">
      <c r="A47" t="s">
        <v>607</v>
      </c>
      <c r="B47">
        <v>50</v>
      </c>
      <c r="C47">
        <v>1</v>
      </c>
      <c r="D47">
        <v>45132</v>
      </c>
      <c r="E47">
        <v>45106</v>
      </c>
      <c r="F47">
        <v>42040</v>
      </c>
      <c r="G47" t="s">
        <v>698</v>
      </c>
      <c r="H47">
        <f t="shared" si="0"/>
        <v>0.29837274551391602</v>
      </c>
    </row>
    <row r="48" spans="1:8" x14ac:dyDescent="0.3">
      <c r="A48" t="s">
        <v>607</v>
      </c>
      <c r="B48">
        <v>50</v>
      </c>
      <c r="C48">
        <v>10</v>
      </c>
      <c r="D48">
        <v>45132</v>
      </c>
      <c r="E48">
        <v>45130</v>
      </c>
      <c r="F48">
        <v>41812</v>
      </c>
      <c r="G48" t="s">
        <v>700</v>
      </c>
      <c r="H48">
        <f t="shared" si="0"/>
        <v>0.34205269813537598</v>
      </c>
    </row>
    <row r="49" spans="1:8" x14ac:dyDescent="0.3">
      <c r="A49" t="s">
        <v>607</v>
      </c>
      <c r="B49">
        <v>50</v>
      </c>
      <c r="C49">
        <v>15</v>
      </c>
      <c r="D49">
        <v>45132</v>
      </c>
      <c r="E49">
        <v>45126</v>
      </c>
      <c r="F49">
        <v>41850</v>
      </c>
      <c r="G49" t="s">
        <v>702</v>
      </c>
      <c r="H49">
        <f t="shared" si="0"/>
        <v>0.26148557662963801</v>
      </c>
    </row>
    <row r="50" spans="1:8" x14ac:dyDescent="0.3">
      <c r="A50" t="s">
        <v>607</v>
      </c>
      <c r="B50">
        <v>50</v>
      </c>
      <c r="C50">
        <v>20</v>
      </c>
      <c r="D50">
        <v>45132</v>
      </c>
      <c r="E50">
        <v>45130</v>
      </c>
      <c r="F50">
        <v>41812</v>
      </c>
      <c r="G50" t="s">
        <v>704</v>
      </c>
      <c r="H50">
        <f t="shared" si="0"/>
        <v>0.32550287246704102</v>
      </c>
    </row>
    <row r="51" spans="1:8" x14ac:dyDescent="0.3">
      <c r="A51" t="s">
        <v>607</v>
      </c>
      <c r="B51">
        <v>50</v>
      </c>
      <c r="C51">
        <v>5</v>
      </c>
      <c r="D51">
        <v>45132</v>
      </c>
      <c r="E51">
        <v>45102</v>
      </c>
      <c r="F51">
        <v>42078</v>
      </c>
      <c r="G51" t="s">
        <v>706</v>
      </c>
      <c r="H51">
        <f t="shared" si="0"/>
        <v>0.27991342544555597</v>
      </c>
    </row>
    <row r="52" spans="1:8" x14ac:dyDescent="0.3">
      <c r="A52" t="s">
        <v>709</v>
      </c>
      <c r="B52">
        <v>1000000</v>
      </c>
      <c r="C52">
        <v>1</v>
      </c>
      <c r="D52">
        <v>31234</v>
      </c>
      <c r="E52">
        <v>31232</v>
      </c>
      <c r="F52">
        <v>42432</v>
      </c>
      <c r="G52" t="s">
        <v>710</v>
      </c>
      <c r="H52">
        <f t="shared" si="0"/>
        <v>7317.5834751129096</v>
      </c>
    </row>
    <row r="53" spans="1:8" x14ac:dyDescent="0.3">
      <c r="A53" t="s">
        <v>709</v>
      </c>
      <c r="B53">
        <v>1000000</v>
      </c>
      <c r="C53">
        <v>10</v>
      </c>
      <c r="D53">
        <v>31234</v>
      </c>
      <c r="E53">
        <v>31224</v>
      </c>
      <c r="F53">
        <v>42744</v>
      </c>
      <c r="G53" t="s">
        <v>712</v>
      </c>
      <c r="H53">
        <f t="shared" si="0"/>
        <v>7089.7162210941297</v>
      </c>
    </row>
    <row r="54" spans="1:8" x14ac:dyDescent="0.3">
      <c r="A54" t="s">
        <v>709</v>
      </c>
      <c r="B54">
        <v>1000000</v>
      </c>
      <c r="C54">
        <v>15</v>
      </c>
      <c r="D54">
        <v>31234</v>
      </c>
      <c r="E54">
        <v>31225</v>
      </c>
      <c r="F54">
        <v>43485</v>
      </c>
      <c r="G54" t="s">
        <v>714</v>
      </c>
      <c r="H54">
        <f t="shared" si="0"/>
        <v>6459.6730494499197</v>
      </c>
    </row>
    <row r="55" spans="1:8" x14ac:dyDescent="0.3">
      <c r="A55" t="s">
        <v>709</v>
      </c>
      <c r="B55">
        <v>1000000</v>
      </c>
      <c r="C55">
        <v>20</v>
      </c>
      <c r="D55">
        <v>31234</v>
      </c>
      <c r="E55">
        <v>31227</v>
      </c>
      <c r="F55">
        <v>41847</v>
      </c>
      <c r="G55" t="s">
        <v>716</v>
      </c>
      <c r="H55">
        <f t="shared" si="0"/>
        <v>5772.6349134445099</v>
      </c>
    </row>
    <row r="56" spans="1:8" x14ac:dyDescent="0.3">
      <c r="A56" t="s">
        <v>709</v>
      </c>
      <c r="B56">
        <v>1000000</v>
      </c>
      <c r="C56">
        <v>5</v>
      </c>
      <c r="D56">
        <v>31234</v>
      </c>
      <c r="E56">
        <v>31219</v>
      </c>
      <c r="F56">
        <v>42159</v>
      </c>
      <c r="G56" t="s">
        <v>718</v>
      </c>
      <c r="H56">
        <f t="shared" si="0"/>
        <v>6836.7424933910297</v>
      </c>
    </row>
    <row r="57" spans="1:8" x14ac:dyDescent="0.3">
      <c r="A57" t="s">
        <v>709</v>
      </c>
      <c r="B57">
        <v>100000</v>
      </c>
      <c r="C57">
        <v>1</v>
      </c>
      <c r="D57">
        <v>31234</v>
      </c>
      <c r="E57">
        <v>31228</v>
      </c>
      <c r="F57">
        <v>41028</v>
      </c>
      <c r="G57" t="s">
        <v>720</v>
      </c>
      <c r="H57">
        <f t="shared" si="0"/>
        <v>704.97473335266102</v>
      </c>
    </row>
    <row r="58" spans="1:8" x14ac:dyDescent="0.3">
      <c r="A58" t="s">
        <v>709</v>
      </c>
      <c r="B58">
        <v>100000</v>
      </c>
      <c r="C58">
        <v>10</v>
      </c>
      <c r="D58">
        <v>31234</v>
      </c>
      <c r="E58">
        <v>31231</v>
      </c>
      <c r="F58">
        <v>41691</v>
      </c>
      <c r="G58" t="s">
        <v>722</v>
      </c>
      <c r="H58">
        <f t="shared" si="0"/>
        <v>770.73567724227905</v>
      </c>
    </row>
    <row r="59" spans="1:8" x14ac:dyDescent="0.3">
      <c r="A59" t="s">
        <v>709</v>
      </c>
      <c r="B59">
        <v>100000</v>
      </c>
      <c r="C59">
        <v>15</v>
      </c>
      <c r="D59">
        <v>31234</v>
      </c>
      <c r="E59">
        <v>31217</v>
      </c>
      <c r="F59">
        <v>42237</v>
      </c>
      <c r="G59" t="s">
        <v>724</v>
      </c>
      <c r="H59">
        <f t="shared" si="0"/>
        <v>777.55440020561196</v>
      </c>
    </row>
    <row r="60" spans="1:8" x14ac:dyDescent="0.3">
      <c r="A60" t="s">
        <v>709</v>
      </c>
      <c r="B60">
        <v>100000</v>
      </c>
      <c r="C60">
        <v>20</v>
      </c>
      <c r="D60">
        <v>31234</v>
      </c>
      <c r="E60">
        <v>31224</v>
      </c>
      <c r="F60">
        <v>42744</v>
      </c>
      <c r="G60" t="s">
        <v>726</v>
      </c>
      <c r="H60">
        <f t="shared" si="0"/>
        <v>790.67456007003705</v>
      </c>
    </row>
    <row r="61" spans="1:8" x14ac:dyDescent="0.3">
      <c r="A61" t="s">
        <v>709</v>
      </c>
      <c r="B61">
        <v>100000</v>
      </c>
      <c r="C61">
        <v>5</v>
      </c>
      <c r="D61">
        <v>31234</v>
      </c>
      <c r="E61">
        <v>31228</v>
      </c>
      <c r="F61">
        <v>42588</v>
      </c>
      <c r="G61" t="s">
        <v>728</v>
      </c>
      <c r="H61">
        <f t="shared" si="0"/>
        <v>756.27871632575898</v>
      </c>
    </row>
    <row r="62" spans="1:8" x14ac:dyDescent="0.3">
      <c r="A62" t="s">
        <v>709</v>
      </c>
      <c r="B62">
        <v>10000</v>
      </c>
      <c r="C62">
        <v>1</v>
      </c>
      <c r="D62">
        <v>31234</v>
      </c>
      <c r="E62">
        <v>31229</v>
      </c>
      <c r="F62">
        <v>41769</v>
      </c>
      <c r="G62" t="s">
        <v>730</v>
      </c>
      <c r="H62">
        <f t="shared" si="0"/>
        <v>74.282402038574205</v>
      </c>
    </row>
    <row r="63" spans="1:8" x14ac:dyDescent="0.3">
      <c r="A63" t="s">
        <v>709</v>
      </c>
      <c r="B63">
        <v>10000</v>
      </c>
      <c r="C63">
        <v>10</v>
      </c>
      <c r="D63">
        <v>31234</v>
      </c>
      <c r="E63">
        <v>31218</v>
      </c>
      <c r="F63">
        <v>41418</v>
      </c>
      <c r="G63" t="s">
        <v>732</v>
      </c>
      <c r="H63">
        <f t="shared" si="0"/>
        <v>74.061536788940401</v>
      </c>
    </row>
    <row r="64" spans="1:8" x14ac:dyDescent="0.3">
      <c r="A64" t="s">
        <v>709</v>
      </c>
      <c r="B64">
        <v>10000</v>
      </c>
      <c r="C64">
        <v>15</v>
      </c>
      <c r="D64">
        <v>31234</v>
      </c>
      <c r="E64">
        <v>31216</v>
      </c>
      <c r="F64">
        <v>43056</v>
      </c>
      <c r="G64" t="s">
        <v>734</v>
      </c>
      <c r="H64">
        <f t="shared" si="0"/>
        <v>84.3295445442199</v>
      </c>
    </row>
    <row r="65" spans="1:8" x14ac:dyDescent="0.3">
      <c r="A65" t="s">
        <v>709</v>
      </c>
      <c r="B65">
        <v>10000</v>
      </c>
      <c r="C65">
        <v>20</v>
      </c>
      <c r="D65">
        <v>31234</v>
      </c>
      <c r="E65">
        <v>31233</v>
      </c>
      <c r="F65">
        <v>43173</v>
      </c>
      <c r="G65" t="s">
        <v>736</v>
      </c>
      <c r="H65">
        <f t="shared" si="0"/>
        <v>88.493695020675602</v>
      </c>
    </row>
    <row r="66" spans="1:8" x14ac:dyDescent="0.3">
      <c r="A66" t="s">
        <v>709</v>
      </c>
      <c r="B66">
        <v>10000</v>
      </c>
      <c r="C66">
        <v>5</v>
      </c>
      <c r="D66">
        <v>31234</v>
      </c>
      <c r="E66">
        <v>31219</v>
      </c>
      <c r="F66">
        <v>42159</v>
      </c>
      <c r="G66" t="s">
        <v>738</v>
      </c>
      <c r="H66">
        <f t="shared" ref="H66:H101" si="1">IF(ISNUMBER(G66), G66, SUBSTITUTE(G66, ".", ",")*1)</f>
        <v>77.482759714126502</v>
      </c>
    </row>
    <row r="67" spans="1:8" x14ac:dyDescent="0.3">
      <c r="A67" t="s">
        <v>709</v>
      </c>
      <c r="B67">
        <v>1000</v>
      </c>
      <c r="C67">
        <v>1</v>
      </c>
      <c r="D67">
        <v>31234</v>
      </c>
      <c r="E67">
        <v>31234</v>
      </c>
      <c r="F67">
        <v>43914</v>
      </c>
      <c r="G67" t="s">
        <v>740</v>
      </c>
      <c r="H67">
        <f t="shared" si="1"/>
        <v>9.3443162441253609</v>
      </c>
    </row>
    <row r="68" spans="1:8" x14ac:dyDescent="0.3">
      <c r="A68" t="s">
        <v>709</v>
      </c>
      <c r="B68">
        <v>1000</v>
      </c>
      <c r="C68">
        <v>10</v>
      </c>
      <c r="D68">
        <v>31234</v>
      </c>
      <c r="E68">
        <v>31223</v>
      </c>
      <c r="F68">
        <v>43563</v>
      </c>
      <c r="G68" t="s">
        <v>742</v>
      </c>
      <c r="H68">
        <f t="shared" si="1"/>
        <v>8.8104307651519704</v>
      </c>
    </row>
    <row r="69" spans="1:8" x14ac:dyDescent="0.3">
      <c r="A69" t="s">
        <v>709</v>
      </c>
      <c r="B69">
        <v>1000</v>
      </c>
      <c r="C69">
        <v>15</v>
      </c>
      <c r="D69">
        <v>31234</v>
      </c>
      <c r="E69">
        <v>31229</v>
      </c>
      <c r="F69">
        <v>43329</v>
      </c>
      <c r="G69" t="s">
        <v>744</v>
      </c>
      <c r="H69">
        <f t="shared" si="1"/>
        <v>8.5570373535156197</v>
      </c>
    </row>
    <row r="70" spans="1:8" x14ac:dyDescent="0.3">
      <c r="A70" t="s">
        <v>709</v>
      </c>
      <c r="B70">
        <v>1000</v>
      </c>
      <c r="C70">
        <v>20</v>
      </c>
      <c r="D70">
        <v>31234</v>
      </c>
      <c r="E70">
        <v>31229</v>
      </c>
      <c r="F70">
        <v>43329</v>
      </c>
      <c r="G70" t="s">
        <v>746</v>
      </c>
      <c r="H70">
        <f t="shared" si="1"/>
        <v>8.3590352535247803</v>
      </c>
    </row>
    <row r="71" spans="1:8" x14ac:dyDescent="0.3">
      <c r="A71" t="s">
        <v>709</v>
      </c>
      <c r="B71">
        <v>1000</v>
      </c>
      <c r="C71">
        <v>5</v>
      </c>
      <c r="D71">
        <v>31234</v>
      </c>
      <c r="E71">
        <v>31221</v>
      </c>
      <c r="F71">
        <v>43641</v>
      </c>
      <c r="G71" t="s">
        <v>748</v>
      </c>
      <c r="H71">
        <f t="shared" si="1"/>
        <v>8.5191409587860107</v>
      </c>
    </row>
    <row r="72" spans="1:8" x14ac:dyDescent="0.3">
      <c r="A72" t="s">
        <v>709</v>
      </c>
      <c r="B72">
        <v>100</v>
      </c>
      <c r="C72">
        <v>1</v>
      </c>
      <c r="D72">
        <v>31234</v>
      </c>
      <c r="E72">
        <v>31229</v>
      </c>
      <c r="F72">
        <v>43329</v>
      </c>
      <c r="G72" t="s">
        <v>750</v>
      </c>
      <c r="H72">
        <f t="shared" si="1"/>
        <v>0.66265606880187899</v>
      </c>
    </row>
    <row r="73" spans="1:8" x14ac:dyDescent="0.3">
      <c r="A73" t="s">
        <v>709</v>
      </c>
      <c r="B73">
        <v>100</v>
      </c>
      <c r="C73">
        <v>10</v>
      </c>
      <c r="D73">
        <v>31234</v>
      </c>
      <c r="E73">
        <v>31231</v>
      </c>
      <c r="F73">
        <v>43251</v>
      </c>
      <c r="G73" t="s">
        <v>752</v>
      </c>
      <c r="H73">
        <f t="shared" si="1"/>
        <v>1.188072681427</v>
      </c>
    </row>
    <row r="74" spans="1:8" x14ac:dyDescent="0.3">
      <c r="A74" t="s">
        <v>709</v>
      </c>
      <c r="B74">
        <v>100</v>
      </c>
      <c r="C74">
        <v>15</v>
      </c>
      <c r="D74">
        <v>31234</v>
      </c>
      <c r="E74">
        <v>31218</v>
      </c>
      <c r="F74">
        <v>42978</v>
      </c>
      <c r="G74" t="s">
        <v>754</v>
      </c>
      <c r="H74">
        <f t="shared" si="1"/>
        <v>0.86274766921997004</v>
      </c>
    </row>
    <row r="75" spans="1:8" x14ac:dyDescent="0.3">
      <c r="A75" t="s">
        <v>709</v>
      </c>
      <c r="B75">
        <v>100</v>
      </c>
      <c r="C75">
        <v>20</v>
      </c>
      <c r="D75">
        <v>31234</v>
      </c>
      <c r="E75">
        <v>31225</v>
      </c>
      <c r="F75">
        <v>43485</v>
      </c>
      <c r="G75" t="s">
        <v>756</v>
      </c>
      <c r="H75">
        <f t="shared" si="1"/>
        <v>0.88718318939208896</v>
      </c>
    </row>
    <row r="76" spans="1:8" x14ac:dyDescent="0.3">
      <c r="A76" t="s">
        <v>709</v>
      </c>
      <c r="B76">
        <v>100</v>
      </c>
      <c r="C76">
        <v>5</v>
      </c>
      <c r="D76">
        <v>31234</v>
      </c>
      <c r="E76">
        <v>31232</v>
      </c>
      <c r="F76">
        <v>42432</v>
      </c>
      <c r="G76" t="s">
        <v>758</v>
      </c>
      <c r="H76">
        <f t="shared" si="1"/>
        <v>0.65534257888793901</v>
      </c>
    </row>
    <row r="77" spans="1:8" x14ac:dyDescent="0.3">
      <c r="A77" t="s">
        <v>709</v>
      </c>
      <c r="B77">
        <v>500000</v>
      </c>
      <c r="C77">
        <v>1</v>
      </c>
      <c r="D77">
        <v>31234</v>
      </c>
      <c r="E77">
        <v>31219</v>
      </c>
      <c r="F77">
        <v>42159</v>
      </c>
      <c r="G77" t="s">
        <v>760</v>
      </c>
      <c r="H77">
        <f t="shared" si="1"/>
        <v>3686.0928847789701</v>
      </c>
    </row>
    <row r="78" spans="1:8" x14ac:dyDescent="0.3">
      <c r="A78" t="s">
        <v>709</v>
      </c>
      <c r="B78">
        <v>500000</v>
      </c>
      <c r="C78">
        <v>10</v>
      </c>
      <c r="D78">
        <v>31234</v>
      </c>
      <c r="E78">
        <v>31232</v>
      </c>
      <c r="F78">
        <v>42432</v>
      </c>
      <c r="G78" t="s">
        <v>762</v>
      </c>
      <c r="H78">
        <f t="shared" si="1"/>
        <v>3696.2810924053101</v>
      </c>
    </row>
    <row r="79" spans="1:8" x14ac:dyDescent="0.3">
      <c r="A79" t="s">
        <v>709</v>
      </c>
      <c r="B79">
        <v>500000</v>
      </c>
      <c r="C79">
        <v>15</v>
      </c>
      <c r="D79">
        <v>31234</v>
      </c>
      <c r="E79">
        <v>31220</v>
      </c>
      <c r="F79">
        <v>41340</v>
      </c>
      <c r="G79" t="s">
        <v>764</v>
      </c>
      <c r="H79">
        <f t="shared" si="1"/>
        <v>3537.81972599029</v>
      </c>
    </row>
    <row r="80" spans="1:8" x14ac:dyDescent="0.3">
      <c r="A80" t="s">
        <v>709</v>
      </c>
      <c r="B80">
        <v>500000</v>
      </c>
      <c r="C80">
        <v>20</v>
      </c>
      <c r="D80">
        <v>31234</v>
      </c>
      <c r="E80">
        <v>31231</v>
      </c>
      <c r="F80">
        <v>41691</v>
      </c>
      <c r="G80" t="s">
        <v>766</v>
      </c>
      <c r="H80">
        <f t="shared" si="1"/>
        <v>3400.0369436740798</v>
      </c>
    </row>
    <row r="81" spans="1:8" x14ac:dyDescent="0.3">
      <c r="A81" t="s">
        <v>709</v>
      </c>
      <c r="B81">
        <v>500000</v>
      </c>
      <c r="C81">
        <v>5</v>
      </c>
      <c r="D81">
        <v>31234</v>
      </c>
      <c r="E81">
        <v>31228</v>
      </c>
      <c r="F81">
        <v>41028</v>
      </c>
      <c r="G81" t="s">
        <v>768</v>
      </c>
      <c r="H81">
        <f t="shared" si="1"/>
        <v>3410.4650278091399</v>
      </c>
    </row>
    <row r="82" spans="1:8" x14ac:dyDescent="0.3">
      <c r="A82" t="s">
        <v>709</v>
      </c>
      <c r="B82">
        <v>50000</v>
      </c>
      <c r="C82">
        <v>1</v>
      </c>
      <c r="D82">
        <v>31234</v>
      </c>
      <c r="E82">
        <v>31220</v>
      </c>
      <c r="F82">
        <v>41340</v>
      </c>
      <c r="G82" t="s">
        <v>770</v>
      </c>
      <c r="H82">
        <f t="shared" si="1"/>
        <v>371.30281972885098</v>
      </c>
    </row>
    <row r="83" spans="1:8" x14ac:dyDescent="0.3">
      <c r="A83" t="s">
        <v>709</v>
      </c>
      <c r="B83">
        <v>50000</v>
      </c>
      <c r="C83">
        <v>10</v>
      </c>
      <c r="D83">
        <v>31234</v>
      </c>
      <c r="E83">
        <v>31224</v>
      </c>
      <c r="F83">
        <v>42744</v>
      </c>
      <c r="G83" t="s">
        <v>772</v>
      </c>
      <c r="H83">
        <f t="shared" si="1"/>
        <v>398.28559327125498</v>
      </c>
    </row>
    <row r="84" spans="1:8" x14ac:dyDescent="0.3">
      <c r="A84" t="s">
        <v>709</v>
      </c>
      <c r="B84">
        <v>50000</v>
      </c>
      <c r="C84">
        <v>15</v>
      </c>
      <c r="D84">
        <v>31234</v>
      </c>
      <c r="E84">
        <v>31227</v>
      </c>
      <c r="F84">
        <v>41847</v>
      </c>
      <c r="G84" t="s">
        <v>774</v>
      </c>
      <c r="H84">
        <f t="shared" si="1"/>
        <v>403.87468719482399</v>
      </c>
    </row>
    <row r="85" spans="1:8" x14ac:dyDescent="0.3">
      <c r="A85" t="s">
        <v>709</v>
      </c>
      <c r="B85">
        <v>50000</v>
      </c>
      <c r="C85">
        <v>20</v>
      </c>
      <c r="D85">
        <v>31234</v>
      </c>
      <c r="E85">
        <v>31225</v>
      </c>
      <c r="F85">
        <v>41925</v>
      </c>
      <c r="G85" t="s">
        <v>776</v>
      </c>
      <c r="H85">
        <f t="shared" si="1"/>
        <v>379.25850105285599</v>
      </c>
    </row>
    <row r="86" spans="1:8" x14ac:dyDescent="0.3">
      <c r="A86" t="s">
        <v>709</v>
      </c>
      <c r="B86">
        <v>50000</v>
      </c>
      <c r="C86">
        <v>5</v>
      </c>
      <c r="D86">
        <v>31234</v>
      </c>
      <c r="E86">
        <v>31216</v>
      </c>
      <c r="F86">
        <v>41496</v>
      </c>
      <c r="G86" t="s">
        <v>778</v>
      </c>
      <c r="H86">
        <f t="shared" si="1"/>
        <v>416.64143204688997</v>
      </c>
    </row>
    <row r="87" spans="1:8" x14ac:dyDescent="0.3">
      <c r="A87" t="s">
        <v>709</v>
      </c>
      <c r="B87">
        <v>5000</v>
      </c>
      <c r="C87">
        <v>1</v>
      </c>
      <c r="D87">
        <v>31234</v>
      </c>
      <c r="E87">
        <v>31232</v>
      </c>
      <c r="F87">
        <v>43992</v>
      </c>
      <c r="G87" t="s">
        <v>780</v>
      </c>
      <c r="H87">
        <f t="shared" si="1"/>
        <v>43.488549709319997</v>
      </c>
    </row>
    <row r="88" spans="1:8" x14ac:dyDescent="0.3">
      <c r="A88" t="s">
        <v>709</v>
      </c>
      <c r="B88">
        <v>5000</v>
      </c>
      <c r="C88">
        <v>10</v>
      </c>
      <c r="D88">
        <v>31234</v>
      </c>
      <c r="E88">
        <v>31216</v>
      </c>
      <c r="F88">
        <v>43056</v>
      </c>
      <c r="G88" t="s">
        <v>782</v>
      </c>
      <c r="H88">
        <f t="shared" si="1"/>
        <v>40.746193408966001</v>
      </c>
    </row>
    <row r="89" spans="1:8" x14ac:dyDescent="0.3">
      <c r="A89" t="s">
        <v>709</v>
      </c>
      <c r="B89">
        <v>5000</v>
      </c>
      <c r="C89">
        <v>15</v>
      </c>
      <c r="D89">
        <v>31234</v>
      </c>
      <c r="E89">
        <v>31219</v>
      </c>
      <c r="F89">
        <v>43719</v>
      </c>
      <c r="G89" t="s">
        <v>784</v>
      </c>
      <c r="H89">
        <f t="shared" si="1"/>
        <v>42.498386859893799</v>
      </c>
    </row>
    <row r="90" spans="1:8" x14ac:dyDescent="0.3">
      <c r="A90" t="s">
        <v>709</v>
      </c>
      <c r="B90">
        <v>5000</v>
      </c>
      <c r="C90">
        <v>20</v>
      </c>
      <c r="D90">
        <v>31234</v>
      </c>
      <c r="E90">
        <v>31228</v>
      </c>
      <c r="F90">
        <v>42588</v>
      </c>
      <c r="G90" t="s">
        <v>786</v>
      </c>
      <c r="H90">
        <f t="shared" si="1"/>
        <v>42.333159446716301</v>
      </c>
    </row>
    <row r="91" spans="1:8" x14ac:dyDescent="0.3">
      <c r="A91" t="s">
        <v>709</v>
      </c>
      <c r="B91">
        <v>5000</v>
      </c>
      <c r="C91">
        <v>5</v>
      </c>
      <c r="D91">
        <v>31234</v>
      </c>
      <c r="E91">
        <v>31233</v>
      </c>
      <c r="F91">
        <v>43173</v>
      </c>
      <c r="G91" t="s">
        <v>788</v>
      </c>
      <c r="H91">
        <f t="shared" si="1"/>
        <v>45.8368401527404</v>
      </c>
    </row>
    <row r="92" spans="1:8" x14ac:dyDescent="0.3">
      <c r="A92" t="s">
        <v>709</v>
      </c>
      <c r="B92">
        <v>500</v>
      </c>
      <c r="C92">
        <v>1</v>
      </c>
      <c r="D92">
        <v>31234</v>
      </c>
      <c r="E92">
        <v>31226</v>
      </c>
      <c r="F92">
        <v>42666</v>
      </c>
      <c r="G92" t="s">
        <v>790</v>
      </c>
      <c r="H92">
        <f t="shared" si="1"/>
        <v>4.8234755992889404</v>
      </c>
    </row>
    <row r="93" spans="1:8" x14ac:dyDescent="0.3">
      <c r="A93" t="s">
        <v>709</v>
      </c>
      <c r="B93">
        <v>500</v>
      </c>
      <c r="C93">
        <v>10</v>
      </c>
      <c r="D93">
        <v>31234</v>
      </c>
      <c r="E93">
        <v>31231</v>
      </c>
      <c r="F93">
        <v>43251</v>
      </c>
      <c r="G93" t="s">
        <v>792</v>
      </c>
      <c r="H93">
        <f t="shared" si="1"/>
        <v>4.3518574237823398</v>
      </c>
    </row>
    <row r="94" spans="1:8" x14ac:dyDescent="0.3">
      <c r="A94" t="s">
        <v>709</v>
      </c>
      <c r="B94">
        <v>500</v>
      </c>
      <c r="C94">
        <v>15</v>
      </c>
      <c r="D94">
        <v>31234</v>
      </c>
      <c r="E94">
        <v>31220</v>
      </c>
      <c r="F94">
        <v>42900</v>
      </c>
      <c r="G94" t="s">
        <v>794</v>
      </c>
      <c r="H94">
        <f t="shared" si="1"/>
        <v>4.54026103019714</v>
      </c>
    </row>
    <row r="95" spans="1:8" x14ac:dyDescent="0.3">
      <c r="A95" t="s">
        <v>709</v>
      </c>
      <c r="B95">
        <v>500</v>
      </c>
      <c r="C95">
        <v>20</v>
      </c>
      <c r="D95">
        <v>31234</v>
      </c>
      <c r="E95">
        <v>31222</v>
      </c>
      <c r="F95">
        <v>44382</v>
      </c>
      <c r="G95" t="s">
        <v>796</v>
      </c>
      <c r="H95">
        <f t="shared" si="1"/>
        <v>4.5430915355682302</v>
      </c>
    </row>
    <row r="96" spans="1:8" x14ac:dyDescent="0.3">
      <c r="A96" t="s">
        <v>709</v>
      </c>
      <c r="B96">
        <v>500</v>
      </c>
      <c r="C96">
        <v>5</v>
      </c>
      <c r="D96">
        <v>31234</v>
      </c>
      <c r="E96">
        <v>31227</v>
      </c>
      <c r="F96">
        <v>43407</v>
      </c>
      <c r="G96" t="s">
        <v>798</v>
      </c>
      <c r="H96">
        <f t="shared" si="1"/>
        <v>4.0643155574798504</v>
      </c>
    </row>
    <row r="97" spans="1:8" x14ac:dyDescent="0.3">
      <c r="A97" t="s">
        <v>709</v>
      </c>
      <c r="B97">
        <v>50</v>
      </c>
      <c r="C97">
        <v>1</v>
      </c>
      <c r="D97">
        <v>31234</v>
      </c>
      <c r="E97">
        <v>31216</v>
      </c>
      <c r="F97">
        <v>43056</v>
      </c>
      <c r="G97" t="s">
        <v>800</v>
      </c>
      <c r="H97">
        <f t="shared" si="1"/>
        <v>0.329652309417724</v>
      </c>
    </row>
    <row r="98" spans="1:8" x14ac:dyDescent="0.3">
      <c r="A98" t="s">
        <v>709</v>
      </c>
      <c r="B98">
        <v>50</v>
      </c>
      <c r="C98">
        <v>10</v>
      </c>
      <c r="D98">
        <v>31234</v>
      </c>
      <c r="E98">
        <v>31224</v>
      </c>
      <c r="F98">
        <v>44304</v>
      </c>
      <c r="G98" t="s">
        <v>802</v>
      </c>
      <c r="H98">
        <f t="shared" si="1"/>
        <v>0.38352346420288003</v>
      </c>
    </row>
    <row r="99" spans="1:8" x14ac:dyDescent="0.3">
      <c r="A99" t="s">
        <v>709</v>
      </c>
      <c r="B99">
        <v>50</v>
      </c>
      <c r="C99">
        <v>15</v>
      </c>
      <c r="D99">
        <v>31234</v>
      </c>
      <c r="E99">
        <v>31225</v>
      </c>
      <c r="F99">
        <v>43485</v>
      </c>
      <c r="G99" t="s">
        <v>804</v>
      </c>
      <c r="H99">
        <f t="shared" si="1"/>
        <v>0.38427948951721103</v>
      </c>
    </row>
    <row r="100" spans="1:8" x14ac:dyDescent="0.3">
      <c r="A100" t="s">
        <v>709</v>
      </c>
      <c r="B100">
        <v>50</v>
      </c>
      <c r="C100">
        <v>20</v>
      </c>
      <c r="D100">
        <v>31234</v>
      </c>
      <c r="E100">
        <v>31231</v>
      </c>
      <c r="F100">
        <v>43251</v>
      </c>
      <c r="G100" t="s">
        <v>806</v>
      </c>
      <c r="H100">
        <f t="shared" si="1"/>
        <v>0.39640760421752902</v>
      </c>
    </row>
    <row r="101" spans="1:8" x14ac:dyDescent="0.3">
      <c r="A101" t="s">
        <v>709</v>
      </c>
      <c r="B101">
        <v>50</v>
      </c>
      <c r="C101">
        <v>5</v>
      </c>
      <c r="D101">
        <v>31234</v>
      </c>
      <c r="E101">
        <v>31222</v>
      </c>
      <c r="F101">
        <v>44382</v>
      </c>
      <c r="G101" t="s">
        <v>808</v>
      </c>
      <c r="H101">
        <f t="shared" si="1"/>
        <v>0.378003120422363</v>
      </c>
    </row>
    <row r="102" spans="1:8" x14ac:dyDescent="0.3">
      <c r="A102" t="s">
        <v>810</v>
      </c>
      <c r="B102">
        <v>1000000</v>
      </c>
      <c r="C102">
        <v>1</v>
      </c>
      <c r="D102">
        <v>49297</v>
      </c>
      <c r="E102">
        <v>49297</v>
      </c>
      <c r="F102">
        <v>49413</v>
      </c>
      <c r="G102" t="s">
        <v>811</v>
      </c>
      <c r="H102">
        <f>IF(ISNUMBER(G102), G102, SUBSTITUTE(G102, ".", ",")*1)</f>
        <v>5689.2303965091696</v>
      </c>
    </row>
    <row r="103" spans="1:8" x14ac:dyDescent="0.3">
      <c r="A103" t="s">
        <v>810</v>
      </c>
      <c r="B103">
        <v>1000000</v>
      </c>
      <c r="C103">
        <v>10</v>
      </c>
      <c r="D103">
        <v>49297</v>
      </c>
      <c r="E103">
        <v>49297</v>
      </c>
      <c r="F103">
        <v>49410</v>
      </c>
      <c r="G103" t="s">
        <v>813</v>
      </c>
      <c r="H103">
        <f t="shared" ref="H103:H151" si="2">IF(ISNUMBER(G103), G103, SUBSTITUTE(G103, ".", ",")*1)</f>
        <v>5666.7876684665598</v>
      </c>
    </row>
    <row r="104" spans="1:8" x14ac:dyDescent="0.3">
      <c r="A104" t="s">
        <v>810</v>
      </c>
      <c r="B104">
        <v>1000000</v>
      </c>
      <c r="C104">
        <v>15</v>
      </c>
      <c r="D104">
        <v>49297</v>
      </c>
      <c r="E104">
        <v>49297</v>
      </c>
      <c r="F104">
        <v>49389</v>
      </c>
      <c r="G104" t="s">
        <v>815</v>
      </c>
      <c r="H104">
        <f t="shared" si="2"/>
        <v>5820.9836387634195</v>
      </c>
    </row>
    <row r="105" spans="1:8" x14ac:dyDescent="0.3">
      <c r="A105" t="s">
        <v>810</v>
      </c>
      <c r="B105">
        <v>1000000</v>
      </c>
      <c r="C105">
        <v>20</v>
      </c>
      <c r="D105">
        <v>49297</v>
      </c>
      <c r="E105">
        <v>49297</v>
      </c>
      <c r="F105">
        <v>49419</v>
      </c>
      <c r="G105" t="s">
        <v>817</v>
      </c>
      <c r="H105">
        <f t="shared" si="2"/>
        <v>5248.3916640281604</v>
      </c>
    </row>
    <row r="106" spans="1:8" x14ac:dyDescent="0.3">
      <c r="A106" t="s">
        <v>810</v>
      </c>
      <c r="B106">
        <v>1000000</v>
      </c>
      <c r="C106">
        <v>5</v>
      </c>
      <c r="D106">
        <v>49297</v>
      </c>
      <c r="E106">
        <v>49297</v>
      </c>
      <c r="F106">
        <v>49386</v>
      </c>
      <c r="G106" t="s">
        <v>819</v>
      </c>
      <c r="H106">
        <f t="shared" si="2"/>
        <v>5257.1038887500699</v>
      </c>
    </row>
    <row r="107" spans="1:8" x14ac:dyDescent="0.3">
      <c r="A107" t="s">
        <v>810</v>
      </c>
      <c r="B107">
        <v>100000</v>
      </c>
      <c r="C107">
        <v>1</v>
      </c>
      <c r="D107">
        <v>49297</v>
      </c>
      <c r="E107">
        <v>49297</v>
      </c>
      <c r="F107">
        <v>49419</v>
      </c>
      <c r="G107" t="s">
        <v>821</v>
      </c>
      <c r="H107">
        <f t="shared" si="2"/>
        <v>609.64008116722096</v>
      </c>
    </row>
    <row r="108" spans="1:8" x14ac:dyDescent="0.3">
      <c r="A108" t="s">
        <v>810</v>
      </c>
      <c r="B108">
        <v>100000</v>
      </c>
      <c r="C108">
        <v>10</v>
      </c>
      <c r="D108">
        <v>49297</v>
      </c>
      <c r="E108">
        <v>49297</v>
      </c>
      <c r="F108">
        <v>49413</v>
      </c>
      <c r="G108" t="s">
        <v>823</v>
      </c>
      <c r="H108">
        <f t="shared" si="2"/>
        <v>588.035508632659</v>
      </c>
    </row>
    <row r="109" spans="1:8" x14ac:dyDescent="0.3">
      <c r="A109" t="s">
        <v>810</v>
      </c>
      <c r="B109">
        <v>100000</v>
      </c>
      <c r="C109">
        <v>15</v>
      </c>
      <c r="D109">
        <v>49297</v>
      </c>
      <c r="E109">
        <v>49297</v>
      </c>
      <c r="F109">
        <v>49410</v>
      </c>
      <c r="G109" t="s">
        <v>825</v>
      </c>
      <c r="H109">
        <f t="shared" si="2"/>
        <v>595.748551130294</v>
      </c>
    </row>
    <row r="110" spans="1:8" x14ac:dyDescent="0.3">
      <c r="A110" t="s">
        <v>810</v>
      </c>
      <c r="B110">
        <v>100000</v>
      </c>
      <c r="C110">
        <v>20</v>
      </c>
      <c r="D110">
        <v>49297</v>
      </c>
      <c r="E110">
        <v>49297</v>
      </c>
      <c r="F110">
        <v>49389</v>
      </c>
      <c r="G110" t="s">
        <v>827</v>
      </c>
      <c r="H110">
        <f t="shared" si="2"/>
        <v>598.26185989379803</v>
      </c>
    </row>
    <row r="111" spans="1:8" x14ac:dyDescent="0.3">
      <c r="A111" t="s">
        <v>810</v>
      </c>
      <c r="B111">
        <v>100000</v>
      </c>
      <c r="C111">
        <v>5</v>
      </c>
      <c r="D111">
        <v>49297</v>
      </c>
      <c r="E111">
        <v>49297</v>
      </c>
      <c r="F111">
        <v>49389</v>
      </c>
      <c r="G111" t="s">
        <v>829</v>
      </c>
      <c r="H111">
        <f t="shared" si="2"/>
        <v>568.52848052978504</v>
      </c>
    </row>
    <row r="112" spans="1:8" x14ac:dyDescent="0.3">
      <c r="A112" t="s">
        <v>810</v>
      </c>
      <c r="B112">
        <v>10000</v>
      </c>
      <c r="C112">
        <v>1</v>
      </c>
      <c r="D112">
        <v>49297</v>
      </c>
      <c r="E112">
        <v>49297</v>
      </c>
      <c r="F112">
        <v>49398</v>
      </c>
      <c r="G112" t="s">
        <v>831</v>
      </c>
      <c r="H112">
        <f t="shared" si="2"/>
        <v>59.269846677780102</v>
      </c>
    </row>
    <row r="113" spans="1:8" x14ac:dyDescent="0.3">
      <c r="A113" t="s">
        <v>810</v>
      </c>
      <c r="B113">
        <v>10000</v>
      </c>
      <c r="C113">
        <v>10</v>
      </c>
      <c r="D113">
        <v>49297</v>
      </c>
      <c r="E113">
        <v>49297</v>
      </c>
      <c r="F113">
        <v>49407</v>
      </c>
      <c r="G113" t="s">
        <v>833</v>
      </c>
      <c r="H113">
        <f t="shared" si="2"/>
        <v>64.394961595535193</v>
      </c>
    </row>
    <row r="114" spans="1:8" x14ac:dyDescent="0.3">
      <c r="A114" t="s">
        <v>810</v>
      </c>
      <c r="B114">
        <v>10000</v>
      </c>
      <c r="C114">
        <v>15</v>
      </c>
      <c r="D114">
        <v>49297</v>
      </c>
      <c r="E114">
        <v>49297</v>
      </c>
      <c r="F114">
        <v>49410</v>
      </c>
      <c r="G114" t="s">
        <v>835</v>
      </c>
      <c r="H114">
        <f t="shared" si="2"/>
        <v>65.129328012466402</v>
      </c>
    </row>
    <row r="115" spans="1:8" x14ac:dyDescent="0.3">
      <c r="A115" t="s">
        <v>810</v>
      </c>
      <c r="B115">
        <v>10000</v>
      </c>
      <c r="C115">
        <v>20</v>
      </c>
      <c r="D115">
        <v>49297</v>
      </c>
      <c r="E115">
        <v>49297</v>
      </c>
      <c r="F115">
        <v>49410</v>
      </c>
      <c r="G115" t="s">
        <v>837</v>
      </c>
      <c r="H115">
        <f t="shared" si="2"/>
        <v>68.047738552093506</v>
      </c>
    </row>
    <row r="116" spans="1:8" x14ac:dyDescent="0.3">
      <c r="A116" t="s">
        <v>810</v>
      </c>
      <c r="B116">
        <v>10000</v>
      </c>
      <c r="C116">
        <v>5</v>
      </c>
      <c r="D116">
        <v>49297</v>
      </c>
      <c r="E116">
        <v>49297</v>
      </c>
      <c r="F116">
        <v>49413</v>
      </c>
      <c r="G116" t="s">
        <v>839</v>
      </c>
      <c r="H116">
        <f t="shared" si="2"/>
        <v>60.6906609535217</v>
      </c>
    </row>
    <row r="117" spans="1:8" x14ac:dyDescent="0.3">
      <c r="A117" t="s">
        <v>810</v>
      </c>
      <c r="B117">
        <v>1000</v>
      </c>
      <c r="C117">
        <v>1</v>
      </c>
      <c r="D117">
        <v>49297</v>
      </c>
      <c r="E117">
        <v>49297</v>
      </c>
      <c r="F117">
        <v>49410</v>
      </c>
      <c r="G117" t="s">
        <v>841</v>
      </c>
      <c r="H117">
        <f t="shared" si="2"/>
        <v>7.0197594165802002</v>
      </c>
    </row>
    <row r="118" spans="1:8" x14ac:dyDescent="0.3">
      <c r="A118" t="s">
        <v>810</v>
      </c>
      <c r="B118">
        <v>1000</v>
      </c>
      <c r="C118">
        <v>10</v>
      </c>
      <c r="D118">
        <v>49297</v>
      </c>
      <c r="E118">
        <v>49297</v>
      </c>
      <c r="F118">
        <v>49422</v>
      </c>
      <c r="G118" t="s">
        <v>843</v>
      </c>
      <c r="H118">
        <f t="shared" si="2"/>
        <v>6.2421720027923504</v>
      </c>
    </row>
    <row r="119" spans="1:8" x14ac:dyDescent="0.3">
      <c r="A119" t="s">
        <v>810</v>
      </c>
      <c r="B119">
        <v>1000</v>
      </c>
      <c r="C119">
        <v>15</v>
      </c>
      <c r="D119">
        <v>49297</v>
      </c>
      <c r="E119">
        <v>49297</v>
      </c>
      <c r="F119">
        <v>49425</v>
      </c>
      <c r="G119" t="s">
        <v>845</v>
      </c>
      <c r="H119">
        <f t="shared" si="2"/>
        <v>6.1927020549774099</v>
      </c>
    </row>
    <row r="120" spans="1:8" x14ac:dyDescent="0.3">
      <c r="A120" t="s">
        <v>810</v>
      </c>
      <c r="B120">
        <v>1000</v>
      </c>
      <c r="C120">
        <v>20</v>
      </c>
      <c r="D120">
        <v>49297</v>
      </c>
      <c r="E120">
        <v>49297</v>
      </c>
      <c r="F120">
        <v>49413</v>
      </c>
      <c r="G120" t="s">
        <v>847</v>
      </c>
      <c r="H120">
        <f t="shared" si="2"/>
        <v>6.59260702133178</v>
      </c>
    </row>
    <row r="121" spans="1:8" x14ac:dyDescent="0.3">
      <c r="A121" t="s">
        <v>810</v>
      </c>
      <c r="B121">
        <v>1000</v>
      </c>
      <c r="C121">
        <v>5</v>
      </c>
      <c r="D121">
        <v>49297</v>
      </c>
      <c r="E121">
        <v>49297</v>
      </c>
      <c r="F121">
        <v>49428</v>
      </c>
      <c r="G121" t="s">
        <v>849</v>
      </c>
      <c r="H121">
        <f t="shared" si="2"/>
        <v>6.4858770370483398</v>
      </c>
    </row>
    <row r="122" spans="1:8" x14ac:dyDescent="0.3">
      <c r="A122" t="s">
        <v>810</v>
      </c>
      <c r="B122">
        <v>100</v>
      </c>
      <c r="C122">
        <v>1</v>
      </c>
      <c r="D122">
        <v>49297</v>
      </c>
      <c r="E122">
        <v>49297</v>
      </c>
      <c r="F122">
        <v>49410</v>
      </c>
      <c r="G122" t="s">
        <v>851</v>
      </c>
      <c r="H122">
        <f t="shared" si="2"/>
        <v>0.71821379661560003</v>
      </c>
    </row>
    <row r="123" spans="1:8" x14ac:dyDescent="0.3">
      <c r="A123" t="s">
        <v>810</v>
      </c>
      <c r="B123">
        <v>100</v>
      </c>
      <c r="C123">
        <v>10</v>
      </c>
      <c r="D123">
        <v>49297</v>
      </c>
      <c r="E123">
        <v>49297</v>
      </c>
      <c r="F123">
        <v>49425</v>
      </c>
      <c r="G123" t="s">
        <v>853</v>
      </c>
      <c r="H123">
        <f t="shared" si="2"/>
        <v>0.63420081138610795</v>
      </c>
    </row>
    <row r="124" spans="1:8" x14ac:dyDescent="0.3">
      <c r="A124" t="s">
        <v>810</v>
      </c>
      <c r="B124">
        <v>100</v>
      </c>
      <c r="C124">
        <v>15</v>
      </c>
      <c r="D124">
        <v>49297</v>
      </c>
      <c r="E124">
        <v>49297</v>
      </c>
      <c r="F124">
        <v>49422</v>
      </c>
      <c r="G124" t="s">
        <v>855</v>
      </c>
      <c r="H124">
        <f t="shared" si="2"/>
        <v>0.63309597969055098</v>
      </c>
    </row>
    <row r="125" spans="1:8" x14ac:dyDescent="0.3">
      <c r="A125" t="s">
        <v>810</v>
      </c>
      <c r="B125">
        <v>100</v>
      </c>
      <c r="C125">
        <v>20</v>
      </c>
      <c r="D125">
        <v>49297</v>
      </c>
      <c r="E125">
        <v>49297</v>
      </c>
      <c r="F125">
        <v>49419</v>
      </c>
      <c r="G125" t="s">
        <v>857</v>
      </c>
      <c r="H125">
        <f t="shared" si="2"/>
        <v>0.71081519126892001</v>
      </c>
    </row>
    <row r="126" spans="1:8" x14ac:dyDescent="0.3">
      <c r="A126" t="s">
        <v>810</v>
      </c>
      <c r="B126">
        <v>100</v>
      </c>
      <c r="C126">
        <v>5</v>
      </c>
      <c r="D126">
        <v>49297</v>
      </c>
      <c r="E126">
        <v>49297</v>
      </c>
      <c r="F126">
        <v>49425</v>
      </c>
      <c r="G126" t="s">
        <v>859</v>
      </c>
      <c r="H126">
        <f t="shared" si="2"/>
        <v>0.70270824432373002</v>
      </c>
    </row>
    <row r="127" spans="1:8" x14ac:dyDescent="0.3">
      <c r="A127" t="s">
        <v>810</v>
      </c>
      <c r="B127">
        <v>500000</v>
      </c>
      <c r="C127">
        <v>1</v>
      </c>
      <c r="D127">
        <v>49297</v>
      </c>
      <c r="E127">
        <v>49297</v>
      </c>
      <c r="F127">
        <v>49389</v>
      </c>
      <c r="G127" t="s">
        <v>861</v>
      </c>
      <c r="H127">
        <f t="shared" si="2"/>
        <v>2900.2051200866699</v>
      </c>
    </row>
    <row r="128" spans="1:8" x14ac:dyDescent="0.3">
      <c r="A128" t="s">
        <v>810</v>
      </c>
      <c r="B128">
        <v>500000</v>
      </c>
      <c r="C128">
        <v>10</v>
      </c>
      <c r="D128">
        <v>49297</v>
      </c>
      <c r="E128">
        <v>49297</v>
      </c>
      <c r="F128">
        <v>49416</v>
      </c>
      <c r="G128" t="s">
        <v>863</v>
      </c>
      <c r="H128">
        <f t="shared" si="2"/>
        <v>2761.1979680061299</v>
      </c>
    </row>
    <row r="129" spans="1:8" x14ac:dyDescent="0.3">
      <c r="A129" t="s">
        <v>810</v>
      </c>
      <c r="B129">
        <v>500000</v>
      </c>
      <c r="C129">
        <v>15</v>
      </c>
      <c r="D129">
        <v>49297</v>
      </c>
      <c r="E129">
        <v>49297</v>
      </c>
      <c r="F129">
        <v>49404</v>
      </c>
      <c r="G129" t="s">
        <v>865</v>
      </c>
      <c r="H129">
        <f t="shared" si="2"/>
        <v>2766.7984213829</v>
      </c>
    </row>
    <row r="130" spans="1:8" x14ac:dyDescent="0.3">
      <c r="A130" t="s">
        <v>810</v>
      </c>
      <c r="B130">
        <v>500000</v>
      </c>
      <c r="C130">
        <v>20</v>
      </c>
      <c r="D130">
        <v>49297</v>
      </c>
      <c r="E130">
        <v>49297</v>
      </c>
      <c r="F130">
        <v>49404</v>
      </c>
      <c r="G130" t="s">
        <v>867</v>
      </c>
      <c r="H130">
        <f t="shared" si="2"/>
        <v>2761.4201354980401</v>
      </c>
    </row>
    <row r="131" spans="1:8" x14ac:dyDescent="0.3">
      <c r="A131" t="s">
        <v>810</v>
      </c>
      <c r="B131">
        <v>500000</v>
      </c>
      <c r="C131">
        <v>5</v>
      </c>
      <c r="D131">
        <v>49297</v>
      </c>
      <c r="E131">
        <v>49297</v>
      </c>
      <c r="F131">
        <v>49395</v>
      </c>
      <c r="G131" t="s">
        <v>869</v>
      </c>
      <c r="H131">
        <f t="shared" si="2"/>
        <v>2775.7652156353001</v>
      </c>
    </row>
    <row r="132" spans="1:8" x14ac:dyDescent="0.3">
      <c r="A132" t="s">
        <v>810</v>
      </c>
      <c r="B132">
        <v>50000</v>
      </c>
      <c r="C132">
        <v>1</v>
      </c>
      <c r="D132">
        <v>49297</v>
      </c>
      <c r="E132">
        <v>49297</v>
      </c>
      <c r="F132">
        <v>49416</v>
      </c>
      <c r="G132" t="s">
        <v>871</v>
      </c>
      <c r="H132">
        <f t="shared" si="2"/>
        <v>307.96813273429802</v>
      </c>
    </row>
    <row r="133" spans="1:8" x14ac:dyDescent="0.3">
      <c r="A133" t="s">
        <v>810</v>
      </c>
      <c r="B133">
        <v>50000</v>
      </c>
      <c r="C133">
        <v>10</v>
      </c>
      <c r="D133">
        <v>49297</v>
      </c>
      <c r="E133">
        <v>49297</v>
      </c>
      <c r="F133">
        <v>49407</v>
      </c>
      <c r="G133" t="s">
        <v>873</v>
      </c>
      <c r="H133">
        <f t="shared" si="2"/>
        <v>316.84601497650101</v>
      </c>
    </row>
    <row r="134" spans="1:8" x14ac:dyDescent="0.3">
      <c r="A134" t="s">
        <v>810</v>
      </c>
      <c r="B134">
        <v>50000</v>
      </c>
      <c r="C134">
        <v>15</v>
      </c>
      <c r="D134">
        <v>49297</v>
      </c>
      <c r="E134">
        <v>49297</v>
      </c>
      <c r="F134">
        <v>49434</v>
      </c>
      <c r="G134" t="s">
        <v>875</v>
      </c>
      <c r="H134">
        <f t="shared" si="2"/>
        <v>329.88515567779501</v>
      </c>
    </row>
    <row r="135" spans="1:8" x14ac:dyDescent="0.3">
      <c r="A135" t="s">
        <v>810</v>
      </c>
      <c r="B135">
        <v>50000</v>
      </c>
      <c r="C135">
        <v>20</v>
      </c>
      <c r="D135">
        <v>49297</v>
      </c>
      <c r="E135">
        <v>49297</v>
      </c>
      <c r="F135">
        <v>49401</v>
      </c>
      <c r="G135" t="s">
        <v>877</v>
      </c>
      <c r="H135">
        <f t="shared" si="2"/>
        <v>280.48802304267798</v>
      </c>
    </row>
    <row r="136" spans="1:8" x14ac:dyDescent="0.3">
      <c r="A136" t="s">
        <v>810</v>
      </c>
      <c r="B136">
        <v>50000</v>
      </c>
      <c r="C136">
        <v>5</v>
      </c>
      <c r="D136">
        <v>49297</v>
      </c>
      <c r="E136">
        <v>49297</v>
      </c>
      <c r="F136">
        <v>49401</v>
      </c>
      <c r="G136" t="s">
        <v>879</v>
      </c>
      <c r="H136">
        <f t="shared" si="2"/>
        <v>311.73707437515202</v>
      </c>
    </row>
    <row r="137" spans="1:8" x14ac:dyDescent="0.3">
      <c r="A137" t="s">
        <v>810</v>
      </c>
      <c r="B137">
        <v>5000</v>
      </c>
      <c r="C137">
        <v>1</v>
      </c>
      <c r="D137">
        <v>49297</v>
      </c>
      <c r="E137">
        <v>49297</v>
      </c>
      <c r="F137">
        <v>49416</v>
      </c>
      <c r="G137" t="s">
        <v>881</v>
      </c>
      <c r="H137">
        <f t="shared" si="2"/>
        <v>32.971747398376401</v>
      </c>
    </row>
    <row r="138" spans="1:8" x14ac:dyDescent="0.3">
      <c r="A138" t="s">
        <v>810</v>
      </c>
      <c r="B138">
        <v>5000</v>
      </c>
      <c r="C138">
        <v>10</v>
      </c>
      <c r="D138">
        <v>49297</v>
      </c>
      <c r="E138">
        <v>49297</v>
      </c>
      <c r="F138">
        <v>49434</v>
      </c>
      <c r="G138" t="s">
        <v>883</v>
      </c>
      <c r="H138">
        <f t="shared" si="2"/>
        <v>31.392856359481801</v>
      </c>
    </row>
    <row r="139" spans="1:8" x14ac:dyDescent="0.3">
      <c r="A139" t="s">
        <v>810</v>
      </c>
      <c r="B139">
        <v>5000</v>
      </c>
      <c r="C139">
        <v>15</v>
      </c>
      <c r="D139">
        <v>49297</v>
      </c>
      <c r="E139">
        <v>49297</v>
      </c>
      <c r="F139">
        <v>49422</v>
      </c>
      <c r="G139" t="s">
        <v>885</v>
      </c>
      <c r="H139">
        <f t="shared" si="2"/>
        <v>30.034372091293299</v>
      </c>
    </row>
    <row r="140" spans="1:8" x14ac:dyDescent="0.3">
      <c r="A140" t="s">
        <v>810</v>
      </c>
      <c r="B140">
        <v>5000</v>
      </c>
      <c r="C140">
        <v>20</v>
      </c>
      <c r="D140">
        <v>49297</v>
      </c>
      <c r="E140">
        <v>49297</v>
      </c>
      <c r="F140">
        <v>49425</v>
      </c>
      <c r="G140" t="s">
        <v>887</v>
      </c>
      <c r="H140">
        <f t="shared" si="2"/>
        <v>32.805424213409403</v>
      </c>
    </row>
    <row r="141" spans="1:8" x14ac:dyDescent="0.3">
      <c r="A141" t="s">
        <v>810</v>
      </c>
      <c r="B141">
        <v>5000</v>
      </c>
      <c r="C141">
        <v>5</v>
      </c>
      <c r="D141">
        <v>49297</v>
      </c>
      <c r="E141">
        <v>49297</v>
      </c>
      <c r="F141">
        <v>49425</v>
      </c>
      <c r="G141" t="s">
        <v>889</v>
      </c>
      <c r="H141">
        <f t="shared" si="2"/>
        <v>33.214069128036499</v>
      </c>
    </row>
    <row r="142" spans="1:8" x14ac:dyDescent="0.3">
      <c r="A142" t="s">
        <v>810</v>
      </c>
      <c r="B142">
        <v>500</v>
      </c>
      <c r="C142">
        <v>1</v>
      </c>
      <c r="D142">
        <v>49297</v>
      </c>
      <c r="E142">
        <v>49297</v>
      </c>
      <c r="F142">
        <v>49413</v>
      </c>
      <c r="G142" t="s">
        <v>891</v>
      </c>
      <c r="H142">
        <f t="shared" si="2"/>
        <v>2.8900885581970202</v>
      </c>
    </row>
    <row r="143" spans="1:8" x14ac:dyDescent="0.3">
      <c r="A143" t="s">
        <v>810</v>
      </c>
      <c r="B143">
        <v>500</v>
      </c>
      <c r="C143">
        <v>10</v>
      </c>
      <c r="D143">
        <v>49297</v>
      </c>
      <c r="E143">
        <v>49297</v>
      </c>
      <c r="F143">
        <v>49419</v>
      </c>
      <c r="G143" t="s">
        <v>893</v>
      </c>
      <c r="H143">
        <f t="shared" si="2"/>
        <v>4.3070912361145002</v>
      </c>
    </row>
    <row r="144" spans="1:8" x14ac:dyDescent="0.3">
      <c r="A144" t="s">
        <v>810</v>
      </c>
      <c r="B144">
        <v>500</v>
      </c>
      <c r="C144">
        <v>15</v>
      </c>
      <c r="D144">
        <v>49297</v>
      </c>
      <c r="E144">
        <v>49297</v>
      </c>
      <c r="F144">
        <v>49425</v>
      </c>
      <c r="G144" t="s">
        <v>895</v>
      </c>
      <c r="H144">
        <f t="shared" si="2"/>
        <v>3.5035109519958398</v>
      </c>
    </row>
    <row r="145" spans="1:8" x14ac:dyDescent="0.3">
      <c r="A145" t="s">
        <v>810</v>
      </c>
      <c r="B145">
        <v>500</v>
      </c>
      <c r="C145">
        <v>20</v>
      </c>
      <c r="D145">
        <v>49297</v>
      </c>
      <c r="E145">
        <v>49297</v>
      </c>
      <c r="F145">
        <v>49419</v>
      </c>
      <c r="G145" t="s">
        <v>897</v>
      </c>
      <c r="H145">
        <f t="shared" si="2"/>
        <v>3.6879236698150599</v>
      </c>
    </row>
    <row r="146" spans="1:8" x14ac:dyDescent="0.3">
      <c r="A146" t="s">
        <v>810</v>
      </c>
      <c r="B146">
        <v>500</v>
      </c>
      <c r="C146">
        <v>5</v>
      </c>
      <c r="D146">
        <v>49297</v>
      </c>
      <c r="E146">
        <v>49297</v>
      </c>
      <c r="F146">
        <v>49425</v>
      </c>
      <c r="G146" t="s">
        <v>899</v>
      </c>
      <c r="H146">
        <f t="shared" si="2"/>
        <v>4.4368748664855904</v>
      </c>
    </row>
    <row r="147" spans="1:8" x14ac:dyDescent="0.3">
      <c r="A147" t="s">
        <v>810</v>
      </c>
      <c r="B147">
        <v>50</v>
      </c>
      <c r="C147">
        <v>1</v>
      </c>
      <c r="D147">
        <v>49297</v>
      </c>
      <c r="E147">
        <v>49297</v>
      </c>
      <c r="F147">
        <v>49425</v>
      </c>
      <c r="G147" t="s">
        <v>901</v>
      </c>
      <c r="H147">
        <f t="shared" si="2"/>
        <v>0.44477605819702098</v>
      </c>
    </row>
    <row r="148" spans="1:8" x14ac:dyDescent="0.3">
      <c r="A148" t="s">
        <v>810</v>
      </c>
      <c r="B148">
        <v>50</v>
      </c>
      <c r="C148">
        <v>10</v>
      </c>
      <c r="D148">
        <v>49297</v>
      </c>
      <c r="E148">
        <v>49297</v>
      </c>
      <c r="F148">
        <v>49413</v>
      </c>
      <c r="G148" t="s">
        <v>903</v>
      </c>
      <c r="H148">
        <f t="shared" si="2"/>
        <v>0.27962756156921298</v>
      </c>
    </row>
    <row r="149" spans="1:8" x14ac:dyDescent="0.3">
      <c r="A149" t="s">
        <v>810</v>
      </c>
      <c r="B149">
        <v>50</v>
      </c>
      <c r="C149">
        <v>15</v>
      </c>
      <c r="D149">
        <v>49297</v>
      </c>
      <c r="E149">
        <v>49297</v>
      </c>
      <c r="F149">
        <v>49431</v>
      </c>
      <c r="G149" t="s">
        <v>905</v>
      </c>
      <c r="H149">
        <f t="shared" si="2"/>
        <v>0.42311811447143499</v>
      </c>
    </row>
    <row r="150" spans="1:8" x14ac:dyDescent="0.3">
      <c r="A150" t="s">
        <v>810</v>
      </c>
      <c r="B150">
        <v>50</v>
      </c>
      <c r="C150">
        <v>20</v>
      </c>
      <c r="D150">
        <v>49297</v>
      </c>
      <c r="E150">
        <v>49297</v>
      </c>
      <c r="F150">
        <v>49425</v>
      </c>
      <c r="G150" t="s">
        <v>907</v>
      </c>
      <c r="H150">
        <f t="shared" si="2"/>
        <v>0.36230802536010698</v>
      </c>
    </row>
    <row r="151" spans="1:8" x14ac:dyDescent="0.3">
      <c r="A151" t="s">
        <v>810</v>
      </c>
      <c r="B151">
        <v>50</v>
      </c>
      <c r="C151">
        <v>5</v>
      </c>
      <c r="D151">
        <v>49297</v>
      </c>
      <c r="E151">
        <v>49297</v>
      </c>
      <c r="F151">
        <v>49416</v>
      </c>
      <c r="G151" t="s">
        <v>909</v>
      </c>
      <c r="H151">
        <f t="shared" si="2"/>
        <v>0.33621549606323198</v>
      </c>
    </row>
  </sheetData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81002C-3320-4510-9DB8-299B7EC3B2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results_0_fusionné</vt:lpstr>
      <vt:lpstr>results_1_fusionné</vt:lpstr>
      <vt:lpstr>results_2_fusionné</vt:lpstr>
      <vt:lpstr>results_3_fusionné</vt:lpstr>
      <vt:lpstr>results_4_fusionné</vt:lpstr>
      <vt:lpstr>results_5_fusionné</vt:lpstr>
      <vt:lpstr>results_6_fusionné</vt:lpstr>
      <vt:lpstr>results_7_fusionné</vt:lpstr>
      <vt:lpstr>results_8_fusionné</vt:lpstr>
      <vt:lpstr>results2_fusionné</vt:lpstr>
      <vt:lpstr>resultsFinale_fusionné</vt:lpstr>
      <vt:lpstr>tps_time_100</vt:lpstr>
      <vt:lpstr>tps_time_1000</vt:lpstr>
      <vt:lpstr>tps_time_10000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2025-04-11T12:43:18Z</dcterms:created>
  <dcterms:modified xsi:type="dcterms:W3CDTF">2025-04-13T21:14:05Z</dcterms:modified>
</cp:coreProperties>
</file>