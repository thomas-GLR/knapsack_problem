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au\OneDrive\Bureau\Polytech\4A\Optimisation discrète\Projet\knapsack_problem\"/>
    </mc:Choice>
  </mc:AlternateContent>
  <xr:revisionPtr revIDLastSave="0" documentId="13_ncr:1_{45D32BA7-306A-407C-B334-51BF9B9A0041}" xr6:coauthVersionLast="47" xr6:coauthVersionMax="47" xr10:uidLastSave="{00000000-0000-0000-0000-000000000000}"/>
  <bookViews>
    <workbookView xWindow="22944" yWindow="-96" windowWidth="23232" windowHeight="12432" activeTab="1" xr2:uid="{51437E40-2B63-4F8C-83ED-2D624888DBCF}"/>
  </bookViews>
  <sheets>
    <sheet name="results_0_fusionné" sheetId="10" r:id="rId1"/>
    <sheet name="results_1_fusionné" sheetId="11" r:id="rId2"/>
    <sheet name="results_2_fusionné" sheetId="12" r:id="rId3"/>
    <sheet name="results_3_fusionné" sheetId="13" r:id="rId4"/>
    <sheet name="results_4_fusionné" sheetId="14" r:id="rId5"/>
    <sheet name="results_5_fusionné" sheetId="15" r:id="rId6"/>
    <sheet name="results_6_fusionné" sheetId="16" r:id="rId7"/>
    <sheet name="results_7_fusionné" sheetId="17" r:id="rId8"/>
    <sheet name="results_8_fusionné" sheetId="18" r:id="rId9"/>
  </sheets>
  <definedNames>
    <definedName name="DonnéesExternes_1" localSheetId="0" hidden="1">'results_0_fusionné'!$A$1:$H$51</definedName>
    <definedName name="DonnéesExternes_2" localSheetId="1" hidden="1">'results_1_fusionné'!$A$1:$H$51</definedName>
    <definedName name="DonnéesExternes_3" localSheetId="2" hidden="1">'results_2_fusionné'!$A$1:$H$51</definedName>
    <definedName name="DonnéesExternes_4" localSheetId="3" hidden="1">'results_3_fusionné'!$A$1:$H$51</definedName>
    <definedName name="DonnéesExternes_5" localSheetId="4" hidden="1">'results_4_fusionné'!$A$1:$H$51</definedName>
    <definedName name="DonnéesExternes_6" localSheetId="5" hidden="1">'results_5_fusionné'!$A$1:$H$51</definedName>
    <definedName name="DonnéesExternes_7" localSheetId="6" hidden="1">'results_6_fusionné'!$A$1:$H$51</definedName>
    <definedName name="DonnéesExternes_8" localSheetId="7" hidden="1">'results_7_fusionné'!$A$1:$H$51</definedName>
    <definedName name="DonnéesExternes_9" localSheetId="8" hidden="1">'results_8_fusionné'!$A$1:$H$51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  <pivotCache cacheId="11" r:id="rId16"/>
    <pivotCache cacheId="17" r:id="rId17"/>
    <pivotCache cacheId="23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18" l="1"/>
  <c r="B57" i="18"/>
  <c r="B58" i="17"/>
  <c r="B57" i="17"/>
  <c r="B57" i="16"/>
  <c r="B57" i="15"/>
  <c r="B57" i="14"/>
  <c r="B57" i="13"/>
  <c r="B57" i="12"/>
  <c r="B57" i="11"/>
  <c r="I2" i="18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2" i="17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2" i="16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2" i="15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2" i="14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2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B58" i="16"/>
  <c r="B58" i="15"/>
  <c r="B58" i="14"/>
  <c r="B58" i="13"/>
  <c r="B58" i="12"/>
  <c r="B58" i="11"/>
  <c r="B58" i="10"/>
  <c r="B57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DA4221-4365-482E-8FDC-175E5243D40E}" keepAlive="1" name="Requête - results_0_fusionné" description="Connexion à la requête « results_0_fusionné » dans le classeur." type="5" refreshedVersion="8" background="1" saveData="1">
    <dbPr connection="Provider=Microsoft.Mashup.OleDb.1;Data Source=$Workbook$;Location=results_0_fusionné;Extended Properties=&quot;&quot;" command="SELECT * FROM [results_0_fusionné]"/>
  </connection>
  <connection id="2" xr16:uid="{26099274-E234-41E0-8F85-5E92BEF58D26}" keepAlive="1" name="Requête - results_1_fusionné" description="Connexion à la requête « results_1_fusionné » dans le classeur." type="5" refreshedVersion="8" background="1" saveData="1">
    <dbPr connection="Provider=Microsoft.Mashup.OleDb.1;Data Source=$Workbook$;Location=results_1_fusionné;Extended Properties=&quot;&quot;" command="SELECT * FROM [results_1_fusionné]"/>
  </connection>
  <connection id="3" xr16:uid="{15ED64C0-4277-4778-A140-2EDB024DF7E9}" keepAlive="1" name="Requête - results_2_fusionné" description="Connexion à la requête « results_2_fusionné » dans le classeur." type="5" refreshedVersion="8" background="1" saveData="1">
    <dbPr connection="Provider=Microsoft.Mashup.OleDb.1;Data Source=$Workbook$;Location=results_2_fusionné;Extended Properties=&quot;&quot;" command="SELECT * FROM [results_2_fusionné]"/>
  </connection>
  <connection id="4" xr16:uid="{94BAA979-15D3-42E8-98FA-B0E9C44BDB2F}" keepAlive="1" name="Requête - results_3_fusionné" description="Connexion à la requête « results_3_fusionné » dans le classeur." type="5" refreshedVersion="8" background="1" saveData="1">
    <dbPr connection="Provider=Microsoft.Mashup.OleDb.1;Data Source=$Workbook$;Location=results_3_fusionné;Extended Properties=&quot;&quot;" command="SELECT * FROM [results_3_fusionné]"/>
  </connection>
  <connection id="5" xr16:uid="{2241760A-BCE5-4F03-9871-7DF8DEABA063}" keepAlive="1" name="Requête - results_4_fusionné" description="Connexion à la requête « results_4_fusionné » dans le classeur." type="5" refreshedVersion="8" background="1" saveData="1">
    <dbPr connection="Provider=Microsoft.Mashup.OleDb.1;Data Source=$Workbook$;Location=results_4_fusionné;Extended Properties=&quot;&quot;" command="SELECT * FROM [results_4_fusionné]"/>
  </connection>
  <connection id="6" xr16:uid="{F016A880-5719-48F8-BE1D-1369D7FD6A25}" keepAlive="1" name="Requête - results_5_fusionné" description="Connexion à la requête « results_5_fusionné » dans le classeur." type="5" refreshedVersion="8" background="1" saveData="1">
    <dbPr connection="Provider=Microsoft.Mashup.OleDb.1;Data Source=$Workbook$;Location=results_5_fusionné;Extended Properties=&quot;&quot;" command="SELECT * FROM [results_5_fusionné]"/>
  </connection>
  <connection id="7" xr16:uid="{1F67AF93-22C8-448F-9121-204C7B09668D}" keepAlive="1" name="Requête - results_6_fusionné" description="Connexion à la requête « results_6_fusionné » dans le classeur." type="5" refreshedVersion="8" background="1" saveData="1">
    <dbPr connection="Provider=Microsoft.Mashup.OleDb.1;Data Source=$Workbook$;Location=results_6_fusionné;Extended Properties=&quot;&quot;" command="SELECT * FROM [results_6_fusionné]"/>
  </connection>
  <connection id="8" xr16:uid="{3E4BB0FE-70A1-49DA-BEA7-B0962DA3127B}" keepAlive="1" name="Requête - results_7_fusionné" description="Connexion à la requête « results_7_fusionné » dans le classeur." type="5" refreshedVersion="8" background="1" saveData="1">
    <dbPr connection="Provider=Microsoft.Mashup.OleDb.1;Data Source=$Workbook$;Location=results_7_fusionné;Extended Properties=&quot;&quot;" command="SELECT * FROM [results_7_fusionné]"/>
  </connection>
  <connection id="9" xr16:uid="{5C68275C-658F-41B4-BD7F-8658F19243BA}" keepAlive="1" name="Requête - results_8_fusionné" description="Connexion à la requête « results_8_fusionné » dans le classeur." type="5" refreshedVersion="8" background="1" saveData="1">
    <dbPr connection="Provider=Microsoft.Mashup.OleDb.1;Data Source=$Workbook$;Location=results_8_fusionné;Extended Properties=&quot;&quot;" command="SELECT * FROM [results_8_fusionné]"/>
  </connection>
</connections>
</file>

<file path=xl/sharedStrings.xml><?xml version="1.0" encoding="utf-8"?>
<sst xmlns="http://schemas.openxmlformats.org/spreadsheetml/2006/main" count="1503" uniqueCount="877">
  <si>
    <t>Nom de la base</t>
  </si>
  <si>
    <t>Nombre d'iteration</t>
  </si>
  <si>
    <t>Taille liste Tabou</t>
  </si>
  <si>
    <t>Poids MAx</t>
  </si>
  <si>
    <t>Total weight</t>
  </si>
  <si>
    <t>Total profit</t>
  </si>
  <si>
    <t>Temps d'execution</t>
  </si>
  <si>
    <t>Fichier solution</t>
  </si>
  <si>
    <t>pi-12-100-1000-001.kna</t>
  </si>
  <si>
    <t>24.819896936416622</t>
  </si>
  <si>
    <t>results/0/item_solutions/pi-12-100-1000-001.kna_1000000_1_items.csv</t>
  </si>
  <si>
    <t>0.001002550125122</t>
  </si>
  <si>
    <t>results/0/item_solutions/pi-12-100-1000-001.kna_1000000_10_items.csv</t>
  </si>
  <si>
    <t>0.0011265277862548</t>
  </si>
  <si>
    <t>results/0/item_solutions/pi-12-100-1000-001.kna_1000000_15_items.csv</t>
  </si>
  <si>
    <t>0.0</t>
  </si>
  <si>
    <t>results/0/item_solutions/pi-12-100-1000-001.kna_1000000_20_items.csv</t>
  </si>
  <si>
    <t>0.0010020732879638</t>
  </si>
  <si>
    <t>results/0/item_solutions/pi-12-100-1000-001.kna_1000000_5_items.csv</t>
  </si>
  <si>
    <t>2.134636402130127</t>
  </si>
  <si>
    <t>results/0/item_solutions/pi-12-100-1000-001.kna_100000_1_items.csv</t>
  </si>
  <si>
    <t>results/0/item_solutions/pi-12-100-1000-001.kna_100000_10_items.csv</t>
  </si>
  <si>
    <t>results/0/item_solutions/pi-12-100-1000-001.kna_100000_15_items.csv</t>
  </si>
  <si>
    <t>results/0/item_solutions/pi-12-100-1000-001.kna_100000_20_items.csv</t>
  </si>
  <si>
    <t>results/0/item_solutions/pi-12-100-1000-001.kna_100000_5_items.csv</t>
  </si>
  <si>
    <t>0.2835476398468017</t>
  </si>
  <si>
    <t>results/0/item_solutions/pi-12-100-1000-001.kna_10000_1_items.csv</t>
  </si>
  <si>
    <t>results/0/item_solutions/pi-12-100-1000-001.kna_10000_10_items.csv</t>
  </si>
  <si>
    <t>results/0/item_solutions/pi-12-100-1000-001.kna_10000_15_items.csv</t>
  </si>
  <si>
    <t>0.0010008811950683</t>
  </si>
  <si>
    <t>results/0/item_solutions/pi-12-100-1000-001.kna_10000_20_items.csv</t>
  </si>
  <si>
    <t>results/0/item_solutions/pi-12-100-1000-001.kna_10000_5_items.csv</t>
  </si>
  <si>
    <t>0.0283210277557373</t>
  </si>
  <si>
    <t>results/0/item_solutions/pi-12-100-1000-001.kna_1000_1_items.csv</t>
  </si>
  <si>
    <t>results/0/item_solutions/pi-12-100-1000-001.kna_1000_10_items.csv</t>
  </si>
  <si>
    <t>results/0/item_solutions/pi-12-100-1000-001.kna_1000_15_items.csv</t>
  </si>
  <si>
    <t>results/0/item_solutions/pi-12-100-1000-001.kna_1000_20_items.csv</t>
  </si>
  <si>
    <t>0.0009987354278564</t>
  </si>
  <si>
    <t>results/0/item_solutions/pi-12-100-1000-001.kna_1000_5_items.csv</t>
  </si>
  <si>
    <t>0.0022315979003906</t>
  </si>
  <si>
    <t>results/0/item_solutions/pi-12-100-1000-001.kna_100_1_items.csv</t>
  </si>
  <si>
    <t>0.0011491775512695</t>
  </si>
  <si>
    <t>results/0/item_solutions/pi-12-100-1000-001.kna_100_10_items.csv</t>
  </si>
  <si>
    <t>0.0019998550415039</t>
  </si>
  <si>
    <t>results/0/item_solutions/pi-12-100-1000-001.kna_100_15_items.csv</t>
  </si>
  <si>
    <t>results/0/item_solutions/pi-12-100-1000-001.kna_100_20_items.csv</t>
  </si>
  <si>
    <t>0.0031309127807617</t>
  </si>
  <si>
    <t>results/0/item_solutions/pi-12-100-1000-001.kna_100_5_items.csv</t>
  </si>
  <si>
    <t>0.0009558200836181</t>
  </si>
  <si>
    <t>results/0/item_solutions/pi-12-100-1000-001.kna_10_1_items.csv</t>
  </si>
  <si>
    <t>0.0010323524475097</t>
  </si>
  <si>
    <t>results/0/item_solutions/pi-12-100-1000-001.kna_10_10_items.csv</t>
  </si>
  <si>
    <t>results/0/item_solutions/pi-12-100-1000-001.kna_10_15_items.csv</t>
  </si>
  <si>
    <t>results/0/item_solutions/pi-12-100-1000-001.kna_10_20_items.csv</t>
  </si>
  <si>
    <t>results/0/item_solutions/pi-12-100-1000-001.kna_10_5_items.csv</t>
  </si>
  <si>
    <t>10.506259441375732</t>
  </si>
  <si>
    <t>results/0/item_solutions/pi-12-100-1000-001.kna_500000_1_items.csv</t>
  </si>
  <si>
    <t>0.0011522769927978</t>
  </si>
  <si>
    <t>results/0/item_solutions/pi-12-100-1000-001.kna_500000_10_items.csv</t>
  </si>
  <si>
    <t>0.0009963512420654</t>
  </si>
  <si>
    <t>results/0/item_solutions/pi-12-100-1000-001.kna_500000_15_items.csv</t>
  </si>
  <si>
    <t>0.001136302947998</t>
  </si>
  <si>
    <t>results/0/item_solutions/pi-12-100-1000-001.kna_500000_20_items.csv</t>
  </si>
  <si>
    <t>results/0/item_solutions/pi-12-100-1000-001.kna_500000_5_items.csv</t>
  </si>
  <si>
    <t>1.217318773269653</t>
  </si>
  <si>
    <t>results/0/item_solutions/pi-12-100-1000-001.kna_50000_1_items.csv</t>
  </si>
  <si>
    <t>0.0009922981262207</t>
  </si>
  <si>
    <t>results/0/item_solutions/pi-12-100-1000-001.kna_50000_10_items.csv</t>
  </si>
  <si>
    <t>1.2478508949279783</t>
  </si>
  <si>
    <t>results/0/item_solutions/pi-12-100-1000-001.kna_50000_15_items.csv</t>
  </si>
  <si>
    <t>results/0/item_solutions/pi-12-100-1000-001.kna_50000_20_items.csv</t>
  </si>
  <si>
    <t>1.3218932151794434</t>
  </si>
  <si>
    <t>results/0/item_solutions/pi-12-100-1000-001.kna_50000_5_items.csv</t>
  </si>
  <si>
    <t>0.1142897605895996</t>
  </si>
  <si>
    <t>results/0/item_solutions/pi-12-100-1000-001.kna_5000_1_items.csv</t>
  </si>
  <si>
    <t>0.0010011196136474</t>
  </si>
  <si>
    <t>results/0/item_solutions/pi-12-100-1000-001.kna_5000_10_items.csv</t>
  </si>
  <si>
    <t>results/0/item_solutions/pi-12-100-1000-001.kna_5000_15_items.csv</t>
  </si>
  <si>
    <t>0.0010344982147216</t>
  </si>
  <si>
    <t>results/0/item_solutions/pi-12-100-1000-001.kna_5000_20_items.csv</t>
  </si>
  <si>
    <t>0.1315326690673828</t>
  </si>
  <si>
    <t>results/0/item_solutions/pi-12-100-1000-001.kna_5000_5_items.csv</t>
  </si>
  <si>
    <t>0.0120303630828857</t>
  </si>
  <si>
    <t>results/0/item_solutions/pi-12-100-1000-001.kna_500_1_items.csv</t>
  </si>
  <si>
    <t>results/0/item_solutions/pi-12-100-1000-001.kna_500_10_items.csv</t>
  </si>
  <si>
    <t>results/0/item_solutions/pi-12-100-1000-001.kna_500_15_items.csv</t>
  </si>
  <si>
    <t>0.0011489391326904</t>
  </si>
  <si>
    <t>results/0/item_solutions/pi-12-100-1000-001.kna_500_20_items.csv</t>
  </si>
  <si>
    <t>results/0/item_solutions/pi-12-100-1000-001.kna_500_5_items.csv</t>
  </si>
  <si>
    <t>pi-12-1000-1000-001.kna</t>
  </si>
  <si>
    <t>216.3263657093048</t>
  </si>
  <si>
    <t>results/1/item_solutions/pi-12-1000-1000-001.kna_1000000_1_items.csv</t>
  </si>
  <si>
    <t>254.4064004421234</t>
  </si>
  <si>
    <t>results/1/item_solutions/pi-12-1000-1000-001.kna_1000000_10_items.csv</t>
  </si>
  <si>
    <t>242.8019766807556</t>
  </si>
  <si>
    <t>results/1/item_solutions/pi-12-1000-1000-001.kna_1000000_15_items.csv</t>
  </si>
  <si>
    <t>236.18393969535828</t>
  </si>
  <si>
    <t>results/1/item_solutions/pi-12-1000-1000-001.kna_1000000_20_items.csv</t>
  </si>
  <si>
    <t>250.4021577835083</t>
  </si>
  <si>
    <t>results/1/item_solutions/pi-12-1000-1000-001.kna_1000000_5_items.csv</t>
  </si>
  <si>
    <t>21.29549813270569</t>
  </si>
  <si>
    <t>results/1/item_solutions/pi-12-1000-1000-001.kna_100000_1_items.csv</t>
  </si>
  <si>
    <t>24.161293506622314</t>
  </si>
  <si>
    <t>results/1/item_solutions/pi-12-1000-1000-001.kna_100000_10_items.csv</t>
  </si>
  <si>
    <t>23.800001621246334</t>
  </si>
  <si>
    <t>results/1/item_solutions/pi-12-1000-1000-001.kna_100000_15_items.csv</t>
  </si>
  <si>
    <t>25.06761407852173</t>
  </si>
  <si>
    <t>results/1/item_solutions/pi-12-1000-1000-001.kna_100000_20_items.csv</t>
  </si>
  <si>
    <t>22.582212924957275</t>
  </si>
  <si>
    <t>results/1/item_solutions/pi-12-1000-1000-001.kna_100000_5_items.csv</t>
  </si>
  <si>
    <t>3.042424201965332</t>
  </si>
  <si>
    <t>results/1/item_solutions/pi-12-1000-1000-001.kna_10000_1_items.csv</t>
  </si>
  <si>
    <t>2.2065539360046387</t>
  </si>
  <si>
    <t>results/1/item_solutions/pi-12-1000-1000-001.kna_10000_10_items.csv</t>
  </si>
  <si>
    <t>2.879629135131836</t>
  </si>
  <si>
    <t>results/1/item_solutions/pi-12-1000-1000-001.kna_10000_15_items.csv</t>
  </si>
  <si>
    <t>2.5320727825164795</t>
  </si>
  <si>
    <t>results/1/item_solutions/pi-12-1000-1000-001.kna_10000_20_items.csv</t>
  </si>
  <si>
    <t>2.485835552215576</t>
  </si>
  <si>
    <t>results/1/item_solutions/pi-12-1000-1000-001.kna_10000_5_items.csv</t>
  </si>
  <si>
    <t>0.2121336460113525</t>
  </si>
  <si>
    <t>results/1/item_solutions/pi-12-1000-1000-001.kna_1000_1_items.csv</t>
  </si>
  <si>
    <t>0.2144832611083984</t>
  </si>
  <si>
    <t>results/1/item_solutions/pi-12-1000-1000-001.kna_1000_10_items.csv</t>
  </si>
  <si>
    <t>0.2695672512054443</t>
  </si>
  <si>
    <t>results/1/item_solutions/pi-12-1000-1000-001.kna_1000_15_items.csv</t>
  </si>
  <si>
    <t>0.2138726711273193</t>
  </si>
  <si>
    <t>results/1/item_solutions/pi-12-1000-1000-001.kna_1000_20_items.csv</t>
  </si>
  <si>
    <t>0.2140984535217285</t>
  </si>
  <si>
    <t>results/1/item_solutions/pi-12-1000-1000-001.kna_1000_5_items.csv</t>
  </si>
  <si>
    <t>0.0206489562988281</t>
  </si>
  <si>
    <t>results/1/item_solutions/pi-12-1000-1000-001.kna_100_1_items.csv</t>
  </si>
  <si>
    <t>0.0281434059143066</t>
  </si>
  <si>
    <t>results/1/item_solutions/pi-12-1000-1000-001.kna_100_10_items.csv</t>
  </si>
  <si>
    <t>0.0264678001403808</t>
  </si>
  <si>
    <t>results/1/item_solutions/pi-12-1000-1000-001.kna_100_15_items.csv</t>
  </si>
  <si>
    <t>0.024785041809082</t>
  </si>
  <si>
    <t>results/1/item_solutions/pi-12-1000-1000-001.kna_100_20_items.csv</t>
  </si>
  <si>
    <t>0.0235209465026855</t>
  </si>
  <si>
    <t>results/1/item_solutions/pi-12-1000-1000-001.kna_100_5_items.csv</t>
  </si>
  <si>
    <t>0.0030338764190673</t>
  </si>
  <si>
    <t>results/1/item_solutions/pi-12-1000-1000-001.kna_10_1_items.csv</t>
  </si>
  <si>
    <t>0.0029983520507812</t>
  </si>
  <si>
    <t>results/1/item_solutions/pi-12-1000-1000-001.kna_10_10_items.csv</t>
  </si>
  <si>
    <t>0.0020294189453125</t>
  </si>
  <si>
    <t>results/1/item_solutions/pi-12-1000-1000-001.kna_10_15_items.csv</t>
  </si>
  <si>
    <t>0.0030329227447509</t>
  </si>
  <si>
    <t>results/1/item_solutions/pi-12-1000-1000-001.kna_10_20_items.csv</t>
  </si>
  <si>
    <t>0.0029985904693603</t>
  </si>
  <si>
    <t>results/1/item_solutions/pi-12-1000-1000-001.kna_10_5_items.csv</t>
  </si>
  <si>
    <t>95.87966752052309</t>
  </si>
  <si>
    <t>results/1/item_solutions/pi-12-1000-1000-001.kna_500000_1_items.csv</t>
  </si>
  <si>
    <t>127.1431167125702</t>
  </si>
  <si>
    <t>results/1/item_solutions/pi-12-1000-1000-001.kna_500000_10_items.csv</t>
  </si>
  <si>
    <t>140.97096967697144</t>
  </si>
  <si>
    <t>results/1/item_solutions/pi-12-1000-1000-001.kna_500000_15_items.csv</t>
  </si>
  <si>
    <t>105.09038639068604</t>
  </si>
  <si>
    <t>results/1/item_solutions/pi-12-1000-1000-001.kna_500000_20_items.csv</t>
  </si>
  <si>
    <t>111.5992078781128</t>
  </si>
  <si>
    <t>results/1/item_solutions/pi-12-1000-1000-001.kna_500000_5_items.csv</t>
  </si>
  <si>
    <t>10.358594179153442</t>
  </si>
  <si>
    <t>results/1/item_solutions/pi-12-1000-1000-001.kna_50000_1_items.csv</t>
  </si>
  <si>
    <t>11.624333143234251</t>
  </si>
  <si>
    <t>results/1/item_solutions/pi-12-1000-1000-001.kna_50000_10_items.csv</t>
  </si>
  <si>
    <t>10.004270792007446</t>
  </si>
  <si>
    <t>results/1/item_solutions/pi-12-1000-1000-001.kna_50000_15_items.csv</t>
  </si>
  <si>
    <t>12.019917249679564</t>
  </si>
  <si>
    <t>results/1/item_solutions/pi-12-1000-1000-001.kna_50000_20_items.csv</t>
  </si>
  <si>
    <t>15.433939695358276</t>
  </si>
  <si>
    <t>results/1/item_solutions/pi-12-1000-1000-001.kna_50000_5_items.csv</t>
  </si>
  <si>
    <t>1.2036681175231934</t>
  </si>
  <si>
    <t>results/1/item_solutions/pi-12-1000-1000-001.kna_5000_1_items.csv</t>
  </si>
  <si>
    <t>1.1607646942138672</t>
  </si>
  <si>
    <t>results/1/item_solutions/pi-12-1000-1000-001.kna_5000_10_items.csv</t>
  </si>
  <si>
    <t>0.989065647125244</t>
  </si>
  <si>
    <t>results/1/item_solutions/pi-12-1000-1000-001.kna_5000_15_items.csv</t>
  </si>
  <si>
    <t>1.024644136428833</t>
  </si>
  <si>
    <t>results/1/item_solutions/pi-12-1000-1000-001.kna_5000_20_items.csv</t>
  </si>
  <si>
    <t>0.8832697868347168</t>
  </si>
  <si>
    <t>results/1/item_solutions/pi-12-1000-1000-001.kna_5000_5_items.csv</t>
  </si>
  <si>
    <t>0.1628899574279785</t>
  </si>
  <si>
    <t>results/1/item_solutions/pi-12-1000-1000-001.kna_500_1_items.csv</t>
  </si>
  <si>
    <t>0.1279613971710205</t>
  </si>
  <si>
    <t>results/1/item_solutions/pi-12-1000-1000-001.kna_500_10_items.csv</t>
  </si>
  <si>
    <t>0.0996210575103759</t>
  </si>
  <si>
    <t>results/1/item_solutions/pi-12-1000-1000-001.kna_500_15_items.csv</t>
  </si>
  <si>
    <t>0.1186511516571044</t>
  </si>
  <si>
    <t>results/1/item_solutions/pi-12-1000-1000-001.kna_500_20_items.csv</t>
  </si>
  <si>
    <t>0.1236851215362548</t>
  </si>
  <si>
    <t>results/1/item_solutions/pi-12-1000-1000-001.kna_500_5_items.csv</t>
  </si>
  <si>
    <t>pi-12-10000-1000-001.kna</t>
  </si>
  <si>
    <t>5612.442616462708</t>
  </si>
  <si>
    <t>results/2/item_solutions/pi-12-10000-1000-001.kna_1000000_1_items.csv</t>
  </si>
  <si>
    <t>5594.748690128326</t>
  </si>
  <si>
    <t>results/2/item_solutions/pi-12-10000-1000-001.kna_1000000_10_items.csv</t>
  </si>
  <si>
    <t>5521.031674385071</t>
  </si>
  <si>
    <t>results/2/item_solutions/pi-12-10000-1000-001.kna_1000000_15_items.csv</t>
  </si>
  <si>
    <t>5774.591715097427</t>
  </si>
  <si>
    <t>results/2/item_solutions/pi-12-10000-1000-001.kna_1000000_20_items.csv</t>
  </si>
  <si>
    <t>5384.439306735992</t>
  </si>
  <si>
    <t>results/2/item_solutions/pi-12-10000-1000-001.kna_1000000_5_items.csv</t>
  </si>
  <si>
    <t>634.410392999649</t>
  </si>
  <si>
    <t>results/2/item_solutions/pi-12-10000-1000-001.kna_100000_1_items.csv</t>
  </si>
  <si>
    <t>557.0277833938599</t>
  </si>
  <si>
    <t>results/2/item_solutions/pi-12-10000-1000-001.kna_100000_10_items.csv</t>
  </si>
  <si>
    <t>548.7647206783295</t>
  </si>
  <si>
    <t>results/2/item_solutions/pi-12-10000-1000-001.kna_100000_15_items.csv</t>
  </si>
  <si>
    <t>615.5410623550415</t>
  </si>
  <si>
    <t>results/2/item_solutions/pi-12-10000-1000-001.kna_100000_20_items.csv</t>
  </si>
  <si>
    <t>549.1418652534485</t>
  </si>
  <si>
    <t>results/2/item_solutions/pi-12-10000-1000-001.kna_100000_5_items.csv</t>
  </si>
  <si>
    <t>56.088557720184326</t>
  </si>
  <si>
    <t>results/2/item_solutions/pi-12-10000-1000-001.kna_10000_1_items.csv</t>
  </si>
  <si>
    <t>56.12543702125549</t>
  </si>
  <si>
    <t>results/2/item_solutions/pi-12-10000-1000-001.kna_10000_10_items.csv</t>
  </si>
  <si>
    <t>58.95407104492188</t>
  </si>
  <si>
    <t>results/2/item_solutions/pi-12-10000-1000-001.kna_10000_15_items.csv</t>
  </si>
  <si>
    <t>53.93251419067383</t>
  </si>
  <si>
    <t>results/2/item_solutions/pi-12-10000-1000-001.kna_10000_20_items.csv</t>
  </si>
  <si>
    <t>57.8935821056366</t>
  </si>
  <si>
    <t>results/2/item_solutions/pi-12-10000-1000-001.kna_10000_5_items.csv</t>
  </si>
  <si>
    <t>6.536093235015869</t>
  </si>
  <si>
    <t>results/2/item_solutions/pi-12-10000-1000-001.kna_1000_1_items.csv</t>
  </si>
  <si>
    <t>6.017713069915772</t>
  </si>
  <si>
    <t>results/2/item_solutions/pi-12-10000-1000-001.kna_1000_10_items.csv</t>
  </si>
  <si>
    <t>5.850481033325195</t>
  </si>
  <si>
    <t>results/2/item_solutions/pi-12-10000-1000-001.kna_1000_15_items.csv</t>
  </si>
  <si>
    <t>5.568945646286011</t>
  </si>
  <si>
    <t>results/2/item_solutions/pi-12-10000-1000-001.kna_1000_20_items.csv</t>
  </si>
  <si>
    <t>5.748890161514282</t>
  </si>
  <si>
    <t>results/2/item_solutions/pi-12-10000-1000-001.kna_1000_5_items.csv</t>
  </si>
  <si>
    <t>0.5450429916381836</t>
  </si>
  <si>
    <t>results/2/item_solutions/pi-12-10000-1000-001.kna_100_1_items.csv</t>
  </si>
  <si>
    <t>0.5922954082489014</t>
  </si>
  <si>
    <t>results/2/item_solutions/pi-12-10000-1000-001.kna_100_10_items.csv</t>
  </si>
  <si>
    <t>0.5757656097412109</t>
  </si>
  <si>
    <t>results/2/item_solutions/pi-12-10000-1000-001.kna_100_15_items.csv</t>
  </si>
  <si>
    <t>0.6276736259460449</t>
  </si>
  <si>
    <t>results/2/item_solutions/pi-12-10000-1000-001.kna_100_20_items.csv</t>
  </si>
  <si>
    <t>0.5924644470214844</t>
  </si>
  <si>
    <t>results/2/item_solutions/pi-12-10000-1000-001.kna_100_5_items.csv</t>
  </si>
  <si>
    <t>0.0916154384613037</t>
  </si>
  <si>
    <t>results/2/item_solutions/pi-12-10000-1000-001.kna_10_1_items.csv</t>
  </si>
  <si>
    <t>0.0622124671936035</t>
  </si>
  <si>
    <t>results/2/item_solutions/pi-12-10000-1000-001.kna_10_10_items.csv</t>
  </si>
  <si>
    <t>0.0666205883026123</t>
  </si>
  <si>
    <t>results/2/item_solutions/pi-12-10000-1000-001.kna_10_15_items.csv</t>
  </si>
  <si>
    <t>0.0698955059051513</t>
  </si>
  <si>
    <t>results/2/item_solutions/pi-12-10000-1000-001.kna_10_20_items.csv</t>
  </si>
  <si>
    <t>0.0655920505523681</t>
  </si>
  <si>
    <t>results/2/item_solutions/pi-12-10000-1000-001.kna_10_5_items.csv</t>
  </si>
  <si>
    <t>2844.257921218872</t>
  </si>
  <si>
    <t>results/2/item_solutions/pi-12-10000-1000-001.kna_500000_1_items.csv</t>
  </si>
  <si>
    <t>2713.8731825351715</t>
  </si>
  <si>
    <t>results/2/item_solutions/pi-12-10000-1000-001.kna_500000_10_items.csv</t>
  </si>
  <si>
    <t>2706.4263792037964</t>
  </si>
  <si>
    <t>results/2/item_solutions/pi-12-10000-1000-001.kna_500000_15_items.csv</t>
  </si>
  <si>
    <t>2796.626061201096</t>
  </si>
  <si>
    <t>results/2/item_solutions/pi-12-10000-1000-001.kna_500000_20_items.csv</t>
  </si>
  <si>
    <t>2628.588095188141</t>
  </si>
  <si>
    <t>results/2/item_solutions/pi-12-10000-1000-001.kna_500000_5_items.csv</t>
  </si>
  <si>
    <t>275.5691947937012</t>
  </si>
  <si>
    <t>results/2/item_solutions/pi-12-10000-1000-001.kna_50000_1_items.csv</t>
  </si>
  <si>
    <t>291.6684498786926</t>
  </si>
  <si>
    <t>results/2/item_solutions/pi-12-10000-1000-001.kna_50000_10_items.csv</t>
  </si>
  <si>
    <t>295.53466176986694</t>
  </si>
  <si>
    <t>results/2/item_solutions/pi-12-10000-1000-001.kna_50000_15_items.csv</t>
  </si>
  <si>
    <t>280.9444189071655</t>
  </si>
  <si>
    <t>results/2/item_solutions/pi-12-10000-1000-001.kna_50000_20_items.csv</t>
  </si>
  <si>
    <t>281.7764410972595</t>
  </si>
  <si>
    <t>results/2/item_solutions/pi-12-10000-1000-001.kna_50000_5_items.csv</t>
  </si>
  <si>
    <t>25.158998489379883</t>
  </si>
  <si>
    <t>results/2/item_solutions/pi-12-10000-1000-001.kna_5000_1_items.csv</t>
  </si>
  <si>
    <t>28.860580921173096</t>
  </si>
  <si>
    <t>results/2/item_solutions/pi-12-10000-1000-001.kna_5000_10_items.csv</t>
  </si>
  <si>
    <t>29.22139835357666</t>
  </si>
  <si>
    <t>results/2/item_solutions/pi-12-10000-1000-001.kna_5000_15_items.csv</t>
  </si>
  <si>
    <t>29.329960346221924</t>
  </si>
  <si>
    <t>results/2/item_solutions/pi-12-10000-1000-001.kna_5000_20_items.csv</t>
  </si>
  <si>
    <t>27.906883001327515</t>
  </si>
  <si>
    <t>results/2/item_solutions/pi-12-10000-1000-001.kna_5000_5_items.csv</t>
  </si>
  <si>
    <t>2.4934215545654297</t>
  </si>
  <si>
    <t>results/2/item_solutions/pi-12-10000-1000-001.kna_500_1_items.csv</t>
  </si>
  <si>
    <t>2.970160484313965</t>
  </si>
  <si>
    <t>results/2/item_solutions/pi-12-10000-1000-001.kna_500_10_items.csv</t>
  </si>
  <si>
    <t>2.994368076324463</t>
  </si>
  <si>
    <t>results/2/item_solutions/pi-12-10000-1000-001.kna_500_15_items.csv</t>
  </si>
  <si>
    <t>3.571988105773926</t>
  </si>
  <si>
    <t>results/2/item_solutions/pi-12-10000-1000-001.kna_500_20_items.csv</t>
  </si>
  <si>
    <t>2.586444139480591</t>
  </si>
  <si>
    <t>results/2/item_solutions/pi-12-10000-1000-001.kna_500_5_items.csv</t>
  </si>
  <si>
    <t>pi-13-100-1000-001.kna</t>
  </si>
  <si>
    <t>22.800905466079712</t>
  </si>
  <si>
    <t>results/3/item_solutions/pi-13-100-1000-001.kna_1000000_1_items.csv</t>
  </si>
  <si>
    <t>25.93609571456909</t>
  </si>
  <si>
    <t>results/3/item_solutions/pi-13-100-1000-001.kna_1000000_10_items.csv</t>
  </si>
  <si>
    <t>30.07906413078308</t>
  </si>
  <si>
    <t>results/3/item_solutions/pi-13-100-1000-001.kna_1000000_15_items.csv</t>
  </si>
  <si>
    <t>0.0010004043579101</t>
  </si>
  <si>
    <t>results/3/item_solutions/pi-13-100-1000-001.kna_1000000_20_items.csv</t>
  </si>
  <si>
    <t>results/3/item_solutions/pi-13-100-1000-001.kna_1000000_5_items.csv</t>
  </si>
  <si>
    <t>2.647228717803955</t>
  </si>
  <si>
    <t>results/3/item_solutions/pi-13-100-1000-001.kna_100000_1_items.csv</t>
  </si>
  <si>
    <t>3.0895063877105717</t>
  </si>
  <si>
    <t>results/3/item_solutions/pi-13-100-1000-001.kna_100000_10_items.csv</t>
  </si>
  <si>
    <t>3.0781049728393555</t>
  </si>
  <si>
    <t>results/3/item_solutions/pi-13-100-1000-001.kna_100000_15_items.csv</t>
  </si>
  <si>
    <t>3.0885465145111084</t>
  </si>
  <si>
    <t>results/3/item_solutions/pi-13-100-1000-001.kna_100000_20_items.csv</t>
  </si>
  <si>
    <t>2.7825396060943604</t>
  </si>
  <si>
    <t>results/3/item_solutions/pi-13-100-1000-001.kna_100000_5_items.csv</t>
  </si>
  <si>
    <t>0.3499650955200195</t>
  </si>
  <si>
    <t>results/3/item_solutions/pi-13-100-1000-001.kna_10000_1_items.csv</t>
  </si>
  <si>
    <t>results/3/item_solutions/pi-13-100-1000-001.kna_10000_10_items.csv</t>
  </si>
  <si>
    <t>0.315481424331665</t>
  </si>
  <si>
    <t>results/3/item_solutions/pi-13-100-1000-001.kna_10000_15_items.csv</t>
  </si>
  <si>
    <t>0.0020010471343994</t>
  </si>
  <si>
    <t>results/3/item_solutions/pi-13-100-1000-001.kna_10000_20_items.csv</t>
  </si>
  <si>
    <t>0.3282527923583984</t>
  </si>
  <si>
    <t>results/3/item_solutions/pi-13-100-1000-001.kna_10000_5_items.csv</t>
  </si>
  <si>
    <t>results/3/item_solutions/pi-13-100-1000-001.kna_1000_1_items.csv</t>
  </si>
  <si>
    <t>0.02872896194458</t>
  </si>
  <si>
    <t>results/3/item_solutions/pi-13-100-1000-001.kna_1000_10_items.csv</t>
  </si>
  <si>
    <t>0.0570693016052246</t>
  </si>
  <si>
    <t>results/3/item_solutions/pi-13-100-1000-001.kna_1000_15_items.csv</t>
  </si>
  <si>
    <t>0.0457642078399658</t>
  </si>
  <si>
    <t>results/3/item_solutions/pi-13-100-1000-001.kna_1000_20_items.csv</t>
  </si>
  <si>
    <t>0.0010325908660888</t>
  </si>
  <si>
    <t>results/3/item_solutions/pi-13-100-1000-001.kna_1000_5_items.csv</t>
  </si>
  <si>
    <t>0.0030322074890136</t>
  </si>
  <si>
    <t>results/3/item_solutions/pi-13-100-1000-001.kna_100_1_items.csv</t>
  </si>
  <si>
    <t>0.0041515827178955</t>
  </si>
  <si>
    <t>results/3/item_solutions/pi-13-100-1000-001.kna_100_10_items.csv</t>
  </si>
  <si>
    <t>0.0010056495666503</t>
  </si>
  <si>
    <t>results/3/item_solutions/pi-13-100-1000-001.kna_100_15_items.csv</t>
  </si>
  <si>
    <t>0.0041182041168212</t>
  </si>
  <si>
    <t>results/3/item_solutions/pi-13-100-1000-001.kna_100_20_items.csv</t>
  </si>
  <si>
    <t>0.0040347576141357</t>
  </si>
  <si>
    <t>results/3/item_solutions/pi-13-100-1000-001.kna_100_5_items.csv</t>
  </si>
  <si>
    <t>0.001000165939331</t>
  </si>
  <si>
    <t>results/3/item_solutions/pi-13-100-1000-001.kna_10_1_items.csv</t>
  </si>
  <si>
    <t>0.0010309219360351</t>
  </si>
  <si>
    <t>results/3/item_solutions/pi-13-100-1000-001.kna_10_10_items.csv</t>
  </si>
  <si>
    <t>0.0009615421295166</t>
  </si>
  <si>
    <t>results/3/item_solutions/pi-13-100-1000-001.kna_10_15_items.csv</t>
  </si>
  <si>
    <t>0.0009946823120117</t>
  </si>
  <si>
    <t>results/3/item_solutions/pi-13-100-1000-001.kna_10_20_items.csv</t>
  </si>
  <si>
    <t>results/3/item_solutions/pi-13-100-1000-001.kna_10_5_items.csv</t>
  </si>
  <si>
    <t>13.074460983276367</t>
  </si>
  <si>
    <t>results/3/item_solutions/pi-13-100-1000-001.kna_500000_1_items.csv</t>
  </si>
  <si>
    <t>15.11792278289795</t>
  </si>
  <si>
    <t>results/3/item_solutions/pi-13-100-1000-001.kna_500000_10_items.csv</t>
  </si>
  <si>
    <t>17.077971935272217</t>
  </si>
  <si>
    <t>results/3/item_solutions/pi-13-100-1000-001.kna_500000_15_items.csv</t>
  </si>
  <si>
    <t>15.946476936340332</t>
  </si>
  <si>
    <t>results/3/item_solutions/pi-13-100-1000-001.kna_500000_20_items.csv</t>
  </si>
  <si>
    <t>15.803659200668337</t>
  </si>
  <si>
    <t>results/3/item_solutions/pi-13-100-1000-001.kna_500000_5_items.csv</t>
  </si>
  <si>
    <t>1.359187126159668</t>
  </si>
  <si>
    <t>results/3/item_solutions/pi-13-100-1000-001.kna_50000_1_items.csv</t>
  </si>
  <si>
    <t>0.0009689331054687</t>
  </si>
  <si>
    <t>results/3/item_solutions/pi-13-100-1000-001.kna_50000_10_items.csv</t>
  </si>
  <si>
    <t>results/3/item_solutions/pi-13-100-1000-001.kna_50000_15_items.csv</t>
  </si>
  <si>
    <t>0.0009996891021728</t>
  </si>
  <si>
    <t>results/3/item_solutions/pi-13-100-1000-001.kna_50000_20_items.csv</t>
  </si>
  <si>
    <t>1.8036041259765625</t>
  </si>
  <si>
    <t>results/3/item_solutions/pi-13-100-1000-001.kna_50000_5_items.csv</t>
  </si>
  <si>
    <t>0.3927414417266845</t>
  </si>
  <si>
    <t>results/3/item_solutions/pi-13-100-1000-001.kna_5000_1_items.csv</t>
  </si>
  <si>
    <t>0.1788444519042968</t>
  </si>
  <si>
    <t>results/3/item_solutions/pi-13-100-1000-001.kna_5000_10_items.csv</t>
  </si>
  <si>
    <t>0.1593477725982666</t>
  </si>
  <si>
    <t>results/3/item_solutions/pi-13-100-1000-001.kna_5000_15_items.csv</t>
  </si>
  <si>
    <t>0.0009670257568359</t>
  </si>
  <si>
    <t>results/3/item_solutions/pi-13-100-1000-001.kna_5000_20_items.csv</t>
  </si>
  <si>
    <t>results/3/item_solutions/pi-13-100-1000-001.kna_5000_5_items.csv</t>
  </si>
  <si>
    <t>0.0009980201721191</t>
  </si>
  <si>
    <t>results/3/item_solutions/pi-13-100-1000-001.kna_500_1_items.csv</t>
  </si>
  <si>
    <t>results/3/item_solutions/pi-13-100-1000-001.kna_500_10_items.csv</t>
  </si>
  <si>
    <t>0.0161869525909423</t>
  </si>
  <si>
    <t>results/3/item_solutions/pi-13-100-1000-001.kna_500_15_items.csv</t>
  </si>
  <si>
    <t>results/3/item_solutions/pi-13-100-1000-001.kna_500_20_items.csv</t>
  </si>
  <si>
    <t>results/3/item_solutions/pi-13-100-1000-001.kna_500_5_items.csv</t>
  </si>
  <si>
    <t>pi-13-1000-1000-001.kna</t>
  </si>
  <si>
    <t>237.0011138916016</t>
  </si>
  <si>
    <t>results/4/item_solutions/pi-13-1000-1000-001.kna_1000000_1_items.csv</t>
  </si>
  <si>
    <t>231.37696743011475</t>
  </si>
  <si>
    <t>results/4/item_solutions/pi-13-1000-1000-001.kna_1000000_10_items.csv</t>
  </si>
  <si>
    <t>211.67198777198792</t>
  </si>
  <si>
    <t>results/4/item_solutions/pi-13-1000-1000-001.kna_1000000_15_items.csv</t>
  </si>
  <si>
    <t>283.46908354759216</t>
  </si>
  <si>
    <t>results/4/item_solutions/pi-13-1000-1000-001.kna_1000000_20_items.csv</t>
  </si>
  <si>
    <t>189.4319920539856</t>
  </si>
  <si>
    <t>results/4/item_solutions/pi-13-1000-1000-001.kna_1000000_5_items.csv</t>
  </si>
  <si>
    <t>20.80686044692993</t>
  </si>
  <si>
    <t>results/4/item_solutions/pi-13-1000-1000-001.kna_100000_1_items.csv</t>
  </si>
  <si>
    <t>22.51587462425232</t>
  </si>
  <si>
    <t>results/4/item_solutions/pi-13-1000-1000-001.kna_100000_10_items.csv</t>
  </si>
  <si>
    <t>22.835777759552</t>
  </si>
  <si>
    <t>results/4/item_solutions/pi-13-1000-1000-001.kna_100000_15_items.csv</t>
  </si>
  <si>
    <t>23.418864727020264</t>
  </si>
  <si>
    <t>results/4/item_solutions/pi-13-1000-1000-001.kna_100000_20_items.csv</t>
  </si>
  <si>
    <t>21.33275437355041</t>
  </si>
  <si>
    <t>results/4/item_solutions/pi-13-1000-1000-001.kna_100000_5_items.csv</t>
  </si>
  <si>
    <t>1.924789905548096</t>
  </si>
  <si>
    <t>results/4/item_solutions/pi-13-1000-1000-001.kna_10000_1_items.csv</t>
  </si>
  <si>
    <t>2.293987512588501</t>
  </si>
  <si>
    <t>results/4/item_solutions/pi-13-1000-1000-001.kna_10000_10_items.csv</t>
  </si>
  <si>
    <t>2.7772676944732666</t>
  </si>
  <si>
    <t>results/4/item_solutions/pi-13-1000-1000-001.kna_10000_15_items.csv</t>
  </si>
  <si>
    <t>2.3116588592529297</t>
  </si>
  <si>
    <t>results/4/item_solutions/pi-13-1000-1000-001.kna_10000_20_items.csv</t>
  </si>
  <si>
    <t>1.989459753036499</t>
  </si>
  <si>
    <t>results/4/item_solutions/pi-13-1000-1000-001.kna_10000_5_items.csv</t>
  </si>
  <si>
    <t>0.2353715896606445</t>
  </si>
  <si>
    <t>results/4/item_solutions/pi-13-1000-1000-001.kna_1000_1_items.csv</t>
  </si>
  <si>
    <t>0.2561159133911133</t>
  </si>
  <si>
    <t>results/4/item_solutions/pi-13-1000-1000-001.kna_1000_10_items.csv</t>
  </si>
  <si>
    <t>0.2246615886688232</t>
  </si>
  <si>
    <t>results/4/item_solutions/pi-13-1000-1000-001.kna_1000_15_items.csv</t>
  </si>
  <si>
    <t>0.2773308753967285</t>
  </si>
  <si>
    <t>results/4/item_solutions/pi-13-1000-1000-001.kna_1000_20_items.csv</t>
  </si>
  <si>
    <t>0.2192902565002441</t>
  </si>
  <si>
    <t>results/4/item_solutions/pi-13-1000-1000-001.kna_1000_5_items.csv</t>
  </si>
  <si>
    <t>0.0276436805725097</t>
  </si>
  <si>
    <t>results/4/item_solutions/pi-13-1000-1000-001.kna_100_1_items.csv</t>
  </si>
  <si>
    <t>0.0270376205444335</t>
  </si>
  <si>
    <t>results/4/item_solutions/pi-13-1000-1000-001.kna_100_10_items.csv</t>
  </si>
  <si>
    <t>0.0243234634399414</t>
  </si>
  <si>
    <t>results/4/item_solutions/pi-13-1000-1000-001.kna_100_15_items.csv</t>
  </si>
  <si>
    <t>0.0261275768280029</t>
  </si>
  <si>
    <t>results/4/item_solutions/pi-13-1000-1000-001.kna_100_20_items.csv</t>
  </si>
  <si>
    <t>0.0242233276367187</t>
  </si>
  <si>
    <t>results/4/item_solutions/pi-13-1000-1000-001.kna_100_5_items.csv</t>
  </si>
  <si>
    <t>0.0021090507507324</t>
  </si>
  <si>
    <t>results/4/item_solutions/pi-13-1000-1000-001.kna_10_1_items.csv</t>
  </si>
  <si>
    <t>0.0030367374420166</t>
  </si>
  <si>
    <t>results/4/item_solutions/pi-13-1000-1000-001.kna_10_10_items.csv</t>
  </si>
  <si>
    <t>0.0030345916748046</t>
  </si>
  <si>
    <t>results/4/item_solutions/pi-13-1000-1000-001.kna_10_15_items.csv</t>
  </si>
  <si>
    <t>0.0041670799255371</t>
  </si>
  <si>
    <t>results/4/item_solutions/pi-13-1000-1000-001.kna_10_20_items.csv</t>
  </si>
  <si>
    <t>0.002030611038208</t>
  </si>
  <si>
    <t>results/4/item_solutions/pi-13-1000-1000-001.kna_10_5_items.csv</t>
  </si>
  <si>
    <t>91.96573114395142</t>
  </si>
  <si>
    <t>results/4/item_solutions/pi-13-1000-1000-001.kna_500000_1_items.csv</t>
  </si>
  <si>
    <t>116.95810294151306</t>
  </si>
  <si>
    <t>results/4/item_solutions/pi-13-1000-1000-001.kna_500000_10_items.csv</t>
  </si>
  <si>
    <t>153.2516572475433</t>
  </si>
  <si>
    <t>results/4/item_solutions/pi-13-1000-1000-001.kna_500000_15_items.csv</t>
  </si>
  <si>
    <t>122.16452932357788</t>
  </si>
  <si>
    <t>results/4/item_solutions/pi-13-1000-1000-001.kna_500000_20_items.csv</t>
  </si>
  <si>
    <t>105.52127647399902</t>
  </si>
  <si>
    <t>results/4/item_solutions/pi-13-1000-1000-001.kna_500000_5_items.csv</t>
  </si>
  <si>
    <t>10.728434085845947</t>
  </si>
  <si>
    <t>results/4/item_solutions/pi-13-1000-1000-001.kna_50000_1_items.csv</t>
  </si>
  <si>
    <t>19.26606702804565</t>
  </si>
  <si>
    <t>results/4/item_solutions/pi-13-1000-1000-001.kna_50000_10_items.csv</t>
  </si>
  <si>
    <t>13.209549903869627</t>
  </si>
  <si>
    <t>results/4/item_solutions/pi-13-1000-1000-001.kna_50000_15_items.csv</t>
  </si>
  <si>
    <t>12.703364610671995</t>
  </si>
  <si>
    <t>results/4/item_solutions/pi-13-1000-1000-001.kna_50000_20_items.csv</t>
  </si>
  <si>
    <t>11.212270259857178</t>
  </si>
  <si>
    <t>results/4/item_solutions/pi-13-1000-1000-001.kna_50000_5_items.csv</t>
  </si>
  <si>
    <t>0.8491826057434082</t>
  </si>
  <si>
    <t>results/4/item_solutions/pi-13-1000-1000-001.kna_5000_1_items.csv</t>
  </si>
  <si>
    <t>1.144317626953125</t>
  </si>
  <si>
    <t>results/4/item_solutions/pi-13-1000-1000-001.kna_5000_10_items.csv</t>
  </si>
  <si>
    <t>1.1634976863861084</t>
  </si>
  <si>
    <t>results/4/item_solutions/pi-13-1000-1000-001.kna_5000_15_items.csv</t>
  </si>
  <si>
    <t>1.4852991104125977</t>
  </si>
  <si>
    <t>results/4/item_solutions/pi-13-1000-1000-001.kna_5000_20_items.csv</t>
  </si>
  <si>
    <t>1.546473503112793</t>
  </si>
  <si>
    <t>results/4/item_solutions/pi-13-1000-1000-001.kna_5000_5_items.csv</t>
  </si>
  <si>
    <t>0.1047606468200683</t>
  </si>
  <si>
    <t>results/4/item_solutions/pi-13-1000-1000-001.kna_500_1_items.csv</t>
  </si>
  <si>
    <t>0.1045200824737548</t>
  </si>
  <si>
    <t>results/4/item_solutions/pi-13-1000-1000-001.kna_500_10_items.csv</t>
  </si>
  <si>
    <t>0.1419024467468261</t>
  </si>
  <si>
    <t>results/4/item_solutions/pi-13-1000-1000-001.kna_500_15_items.csv</t>
  </si>
  <si>
    <t>0.1188380718231201</t>
  </si>
  <si>
    <t>results/4/item_solutions/pi-13-1000-1000-001.kna_500_20_items.csv</t>
  </si>
  <si>
    <t>0.0968539714813232</t>
  </si>
  <si>
    <t>results/4/item_solutions/pi-13-1000-1000-001.kna_500_5_items.csv</t>
  </si>
  <si>
    <t>pi-13-10000-1000-001.kna</t>
  </si>
  <si>
    <t>6068.230341672897</t>
  </si>
  <si>
    <t>results/5/item_solutions/pi-13-10000-1000-001.kna_1000000_1_items.csv</t>
  </si>
  <si>
    <t>5034.528251409531</t>
  </si>
  <si>
    <t>results/5/item_solutions/pi-13-10000-1000-001.kna_1000000_10_items.csv</t>
  </si>
  <si>
    <t>4742.246073722839</t>
  </si>
  <si>
    <t>results/5/item_solutions/pi-13-10000-1000-001.kna_1000000_15_items.csv</t>
  </si>
  <si>
    <t>7868.828242540359</t>
  </si>
  <si>
    <t>results/5/item_solutions/pi-13-10000-1000-001.kna_1000000_20_items.csv</t>
  </si>
  <si>
    <t>5014.439626932144</t>
  </si>
  <si>
    <t>results/5/item_solutions/pi-13-10000-1000-001.kna_1000000_5_items.csv</t>
  </si>
  <si>
    <t>557.7538487911224</t>
  </si>
  <si>
    <t>results/5/item_solutions/pi-13-10000-1000-001.kna_100000_1_items.csv</t>
  </si>
  <si>
    <t>583.1314537525177</t>
  </si>
  <si>
    <t>results/5/item_solutions/pi-13-10000-1000-001.kna_100000_10_items.csv</t>
  </si>
  <si>
    <t>558.3289268016815</t>
  </si>
  <si>
    <t>results/5/item_solutions/pi-13-10000-1000-001.kna_100000_15_items.csv</t>
  </si>
  <si>
    <t>578.7687036991119</t>
  </si>
  <si>
    <t>results/5/item_solutions/pi-13-10000-1000-001.kna_100000_20_items.csv</t>
  </si>
  <si>
    <t>532.3675606250763</t>
  </si>
  <si>
    <t>results/5/item_solutions/pi-13-10000-1000-001.kna_100000_5_items.csv</t>
  </si>
  <si>
    <t>52.22916769981384</t>
  </si>
  <si>
    <t>results/5/item_solutions/pi-13-10000-1000-001.kna_10000_1_items.csv</t>
  </si>
  <si>
    <t>54.34408187866211</t>
  </si>
  <si>
    <t>results/5/item_solutions/pi-13-10000-1000-001.kna_10000_10_items.csv</t>
  </si>
  <si>
    <t>53.76449513435364</t>
  </si>
  <si>
    <t>results/5/item_solutions/pi-13-10000-1000-001.kna_10000_15_items.csv</t>
  </si>
  <si>
    <t>53.449183225631714</t>
  </si>
  <si>
    <t>results/5/item_solutions/pi-13-10000-1000-001.kna_10000_20_items.csv</t>
  </si>
  <si>
    <t>59.87151741981506</t>
  </si>
  <si>
    <t>results/5/item_solutions/pi-13-10000-1000-001.kna_10000_5_items.csv</t>
  </si>
  <si>
    <t>6.006444454193115</t>
  </si>
  <si>
    <t>results/5/item_solutions/pi-13-10000-1000-001.kna_1000_1_items.csv</t>
  </si>
  <si>
    <t>6.332886934280396</t>
  </si>
  <si>
    <t>results/5/item_solutions/pi-13-10000-1000-001.kna_1000_10_items.csv</t>
  </si>
  <si>
    <t>5.361091375350952</t>
  </si>
  <si>
    <t>results/5/item_solutions/pi-13-10000-1000-001.kna_1000_15_items.csv</t>
  </si>
  <si>
    <t>6.566510677337647</t>
  </si>
  <si>
    <t>results/5/item_solutions/pi-13-10000-1000-001.kna_1000_20_items.csv</t>
  </si>
  <si>
    <t>7.32965350151062</t>
  </si>
  <si>
    <t>results/5/item_solutions/pi-13-10000-1000-001.kna_1000_5_items.csv</t>
  </si>
  <si>
    <t>0.5633025169372559</t>
  </si>
  <si>
    <t>results/5/item_solutions/pi-13-10000-1000-001.kna_100_1_items.csv</t>
  </si>
  <si>
    <t>0.6849725246429443</t>
  </si>
  <si>
    <t>results/5/item_solutions/pi-13-10000-1000-001.kna_100_10_items.csv</t>
  </si>
  <si>
    <t>0.6006796360015869</t>
  </si>
  <si>
    <t>results/5/item_solutions/pi-13-10000-1000-001.kna_100_15_items.csv</t>
  </si>
  <si>
    <t>0.6182653903961182</t>
  </si>
  <si>
    <t>results/5/item_solutions/pi-13-10000-1000-001.kna_100_20_items.csv</t>
  </si>
  <si>
    <t>0.5578701496124268</t>
  </si>
  <si>
    <t>results/5/item_solutions/pi-13-10000-1000-001.kna_100_5_items.csv</t>
  </si>
  <si>
    <t>0.093069314956665</t>
  </si>
  <si>
    <t>results/5/item_solutions/pi-13-10000-1000-001.kna_10_1_items.csv</t>
  </si>
  <si>
    <t>0.1097776889801025</t>
  </si>
  <si>
    <t>results/5/item_solutions/pi-13-10000-1000-001.kna_10_10_items.csv</t>
  </si>
  <si>
    <t>0.0545845031738281</t>
  </si>
  <si>
    <t>results/5/item_solutions/pi-13-10000-1000-001.kna_10_15_items.csv</t>
  </si>
  <si>
    <t>0.0976009368896484</t>
  </si>
  <si>
    <t>results/5/item_solutions/pi-13-10000-1000-001.kna_10_20_items.csv</t>
  </si>
  <si>
    <t>0.09515380859375</t>
  </si>
  <si>
    <t>results/5/item_solutions/pi-13-10000-1000-001.kna_10_5_items.csv</t>
  </si>
  <si>
    <t>2842.2148604393005</t>
  </si>
  <si>
    <t>results/5/item_solutions/pi-13-10000-1000-001.kna_500000_1_items.csv</t>
  </si>
  <si>
    <t>2475.456614971161</t>
  </si>
  <si>
    <t>results/5/item_solutions/pi-13-10000-1000-001.kna_500000_10_items.csv</t>
  </si>
  <si>
    <t>2678.832438707352</t>
  </si>
  <si>
    <t>results/5/item_solutions/pi-13-10000-1000-001.kna_500000_15_items.csv</t>
  </si>
  <si>
    <t>2342.182863473892</t>
  </si>
  <si>
    <t>results/5/item_solutions/pi-13-10000-1000-001.kna_500000_20_items.csv</t>
  </si>
  <si>
    <t>2451.188381910324</t>
  </si>
  <si>
    <t>results/5/item_solutions/pi-13-10000-1000-001.kna_500000_5_items.csv</t>
  </si>
  <si>
    <t>292.003933429718</t>
  </si>
  <si>
    <t>results/5/item_solutions/pi-13-10000-1000-001.kna_50000_1_items.csv</t>
  </si>
  <si>
    <t>268.2838537693024</t>
  </si>
  <si>
    <t>results/5/item_solutions/pi-13-10000-1000-001.kna_50000_10_items.csv</t>
  </si>
  <si>
    <t>263.2959268093109</t>
  </si>
  <si>
    <t>results/5/item_solutions/pi-13-10000-1000-001.kna_50000_15_items.csv</t>
  </si>
  <si>
    <t>289.8580837249756</t>
  </si>
  <si>
    <t>results/5/item_solutions/pi-13-10000-1000-001.kna_50000_20_items.csv</t>
  </si>
  <si>
    <t>268.6903238296509</t>
  </si>
  <si>
    <t>results/5/item_solutions/pi-13-10000-1000-001.kna_50000_5_items.csv</t>
  </si>
  <si>
    <t>26.489049434661865</t>
  </si>
  <si>
    <t>results/5/item_solutions/pi-13-10000-1000-001.kna_5000_1_items.csv</t>
  </si>
  <si>
    <t>29.294591426849365</t>
  </si>
  <si>
    <t>results/5/item_solutions/pi-13-10000-1000-001.kna_5000_10_items.csv</t>
  </si>
  <si>
    <t>24.425600051879883</t>
  </si>
  <si>
    <t>results/5/item_solutions/pi-13-10000-1000-001.kna_5000_15_items.csv</t>
  </si>
  <si>
    <t>28.06373691558838</t>
  </si>
  <si>
    <t>results/5/item_solutions/pi-13-10000-1000-001.kna_5000_20_items.csv</t>
  </si>
  <si>
    <t>28.366127729415894</t>
  </si>
  <si>
    <t>results/5/item_solutions/pi-13-10000-1000-001.kna_5000_5_items.csv</t>
  </si>
  <si>
    <t>2.807817220687866</t>
  </si>
  <si>
    <t>results/5/item_solutions/pi-13-10000-1000-001.kna_500_1_items.csv</t>
  </si>
  <si>
    <t>2.935723066329956</t>
  </si>
  <si>
    <t>results/5/item_solutions/pi-13-10000-1000-001.kna_500_10_items.csv</t>
  </si>
  <si>
    <t>3.048744201660156</t>
  </si>
  <si>
    <t>results/5/item_solutions/pi-13-10000-1000-001.kna_500_15_items.csv</t>
  </si>
  <si>
    <t>3.191494941711426</t>
  </si>
  <si>
    <t>results/5/item_solutions/pi-13-10000-1000-001.kna_500_20_items.csv</t>
  </si>
  <si>
    <t>3.194854974746704</t>
  </si>
  <si>
    <t>results/5/item_solutions/pi-13-10000-1000-001.kna_500_5_items.csv</t>
  </si>
  <si>
    <t>pi-15-100-1000-001.kna</t>
  </si>
  <si>
    <t>25.08297324180603</t>
  </si>
  <si>
    <t>results/6/item_solutions/pi-15-100-1000-001.kna_1000000_1_items.csv</t>
  </si>
  <si>
    <t>27.31738877296448</t>
  </si>
  <si>
    <t>results/6/item_solutions/pi-15-100-1000-001.kna_1000000_10_items.csv</t>
  </si>
  <si>
    <t>0.0010015964508056</t>
  </si>
  <si>
    <t>results/6/item_solutions/pi-15-100-1000-001.kna_1000000_15_items.csv</t>
  </si>
  <si>
    <t>30.57844567298889</t>
  </si>
  <si>
    <t>results/6/item_solutions/pi-15-100-1000-001.kna_1000000_20_items.csv</t>
  </si>
  <si>
    <t>results/6/item_solutions/pi-15-100-1000-001.kna_1000000_5_items.csv</t>
  </si>
  <si>
    <t>2.024815082550049</t>
  </si>
  <si>
    <t>results/6/item_solutions/pi-15-100-1000-001.kna_100000_1_items.csv</t>
  </si>
  <si>
    <t>2.3029093742370605</t>
  </si>
  <si>
    <t>results/6/item_solutions/pi-15-100-1000-001.kna_100000_10_items.csv</t>
  </si>
  <si>
    <t>0.0011501312255859</t>
  </si>
  <si>
    <t>results/6/item_solutions/pi-15-100-1000-001.kna_100000_15_items.csv</t>
  </si>
  <si>
    <t>results/6/item_solutions/pi-15-100-1000-001.kna_100000_20_items.csv</t>
  </si>
  <si>
    <t>2.5946192741394043</t>
  </si>
  <si>
    <t>results/6/item_solutions/pi-15-100-1000-001.kna_100000_5_items.csv</t>
  </si>
  <si>
    <t>0.2710018157958984</t>
  </si>
  <si>
    <t>results/6/item_solutions/pi-15-100-1000-001.kna_10000_1_items.csv</t>
  </si>
  <si>
    <t>results/6/item_solutions/pi-15-100-1000-001.kna_10000_10_items.csv</t>
  </si>
  <si>
    <t>results/6/item_solutions/pi-15-100-1000-001.kna_10000_15_items.csv</t>
  </si>
  <si>
    <t>results/6/item_solutions/pi-15-100-1000-001.kna_10000_20_items.csv</t>
  </si>
  <si>
    <t>0.2401096820831298</t>
  </si>
  <si>
    <t>results/6/item_solutions/pi-15-100-1000-001.kna_10000_5_items.csv</t>
  </si>
  <si>
    <t>0.022475242614746</t>
  </si>
  <si>
    <t>results/6/item_solutions/pi-15-100-1000-001.kna_1000_1_items.csv</t>
  </si>
  <si>
    <t>0.0704486370086669</t>
  </si>
  <si>
    <t>results/6/item_solutions/pi-15-100-1000-001.kna_1000_10_items.csv</t>
  </si>
  <si>
    <t>0.0059611797332763</t>
  </si>
  <si>
    <t>results/6/item_solutions/pi-15-100-1000-001.kna_1000_15_items.csv</t>
  </si>
  <si>
    <t>0.0011894702911376</t>
  </si>
  <si>
    <t>results/6/item_solutions/pi-15-100-1000-001.kna_1000_20_items.csv</t>
  </si>
  <si>
    <t>0.0569989681243896</t>
  </si>
  <si>
    <t>results/6/item_solutions/pi-15-100-1000-001.kna_1000_5_items.csv</t>
  </si>
  <si>
    <t>0.0022072792053222</t>
  </si>
  <si>
    <t>results/6/item_solutions/pi-15-100-1000-001.kna_100_1_items.csv</t>
  </si>
  <si>
    <t>0.0009975433349609</t>
  </si>
  <si>
    <t>results/6/item_solutions/pi-15-100-1000-001.kna_100_10_items.csv</t>
  </si>
  <si>
    <t>0.0011262893676757</t>
  </si>
  <si>
    <t>results/6/item_solutions/pi-15-100-1000-001.kna_100_15_items.csv</t>
  </si>
  <si>
    <t>0.0020322799682617</t>
  </si>
  <si>
    <t>results/6/item_solutions/pi-15-100-1000-001.kna_100_20_items.csv</t>
  </si>
  <si>
    <t>0.003223180770874</t>
  </si>
  <si>
    <t>results/6/item_solutions/pi-15-100-1000-001.kna_100_5_items.csv</t>
  </si>
  <si>
    <t>results/6/item_solutions/pi-15-100-1000-001.kna_10_1_items.csv</t>
  </si>
  <si>
    <t>results/6/item_solutions/pi-15-100-1000-001.kna_10_10_items.csv</t>
  </si>
  <si>
    <t>results/6/item_solutions/pi-15-100-1000-001.kna_10_15_items.csv</t>
  </si>
  <si>
    <t>results/6/item_solutions/pi-15-100-1000-001.kna_10_20_items.csv</t>
  </si>
  <si>
    <t>results/6/item_solutions/pi-15-100-1000-001.kna_10_5_items.csv</t>
  </si>
  <si>
    <t>9.213356018066406</t>
  </si>
  <si>
    <t>results/6/item_solutions/pi-15-100-1000-001.kna_500000_1_items.csv</t>
  </si>
  <si>
    <t>11.2207989692688</t>
  </si>
  <si>
    <t>results/6/item_solutions/pi-15-100-1000-001.kna_500000_10_items.csv</t>
  </si>
  <si>
    <t>results/6/item_solutions/pi-15-100-1000-001.kna_500000_15_items.csv</t>
  </si>
  <si>
    <t>0.0010035037994384</t>
  </si>
  <si>
    <t>results/6/item_solutions/pi-15-100-1000-001.kna_500000_20_items.csv</t>
  </si>
  <si>
    <t>13.503843545913696</t>
  </si>
  <si>
    <t>results/6/item_solutions/pi-15-100-1000-001.kna_500000_5_items.csv</t>
  </si>
  <si>
    <t>1.133643627166748</t>
  </si>
  <si>
    <t>results/6/item_solutions/pi-15-100-1000-001.kna_50000_1_items.csv</t>
  </si>
  <si>
    <t>results/6/item_solutions/pi-15-100-1000-001.kna_50000_10_items.csv</t>
  </si>
  <si>
    <t>results/6/item_solutions/pi-15-100-1000-001.kna_50000_15_items.csv</t>
  </si>
  <si>
    <t>0.0009932518005371</t>
  </si>
  <si>
    <t>results/6/item_solutions/pi-15-100-1000-001.kna_50000_20_items.csv</t>
  </si>
  <si>
    <t>1.3236515522003174</t>
  </si>
  <si>
    <t>results/6/item_solutions/pi-15-100-1000-001.kna_50000_5_items.csv</t>
  </si>
  <si>
    <t>0.1482863426208496</t>
  </si>
  <si>
    <t>results/6/item_solutions/pi-15-100-1000-001.kna_5000_1_items.csv</t>
  </si>
  <si>
    <t>results/6/item_solutions/pi-15-100-1000-001.kna_5000_10_items.csv</t>
  </si>
  <si>
    <t>0.1230976581573486</t>
  </si>
  <si>
    <t>results/6/item_solutions/pi-15-100-1000-001.kna_5000_15_items.csv</t>
  </si>
  <si>
    <t>results/6/item_solutions/pi-15-100-1000-001.kna_5000_20_items.csv</t>
  </si>
  <si>
    <t>0.1226646900177002</t>
  </si>
  <si>
    <t>results/6/item_solutions/pi-15-100-1000-001.kna_5000_5_items.csv</t>
  </si>
  <si>
    <t>0.0110347270965576</t>
  </si>
  <si>
    <t>results/6/item_solutions/pi-15-100-1000-001.kna_500_1_items.csv</t>
  </si>
  <si>
    <t>results/6/item_solutions/pi-15-100-1000-001.kna_500_10_items.csv</t>
  </si>
  <si>
    <t>results/6/item_solutions/pi-15-100-1000-001.kna_500_15_items.csv</t>
  </si>
  <si>
    <t>0.0011188983917236</t>
  </si>
  <si>
    <t>results/6/item_solutions/pi-15-100-1000-001.kna_500_20_items.csv</t>
  </si>
  <si>
    <t>0.0122559070587158</t>
  </si>
  <si>
    <t>results/6/item_solutions/pi-15-100-1000-001.kna_500_5_items.csv</t>
  </si>
  <si>
    <t>pi-15-1000-1000-001.kna</t>
  </si>
  <si>
    <t>203.32465648651123</t>
  </si>
  <si>
    <t>results/7/item_solutions/pi-15-1000-1000-001.kna_1000000_1_items.csv</t>
  </si>
  <si>
    <t>290.2636785507202</t>
  </si>
  <si>
    <t>results/7/item_solutions/pi-15-1000-1000-001.kna_1000000_10_items.csv</t>
  </si>
  <si>
    <t>307.62469387054443</t>
  </si>
  <si>
    <t>results/7/item_solutions/pi-15-1000-1000-001.kna_1000000_15_items.csv</t>
  </si>
  <si>
    <t>544.3862988948822</t>
  </si>
  <si>
    <t>results/7/item_solutions/pi-15-1000-1000-001.kna_1000000_20_items.csv</t>
  </si>
  <si>
    <t>203.84227848052976</t>
  </si>
  <si>
    <t>results/7/item_solutions/pi-15-1000-1000-001.kna_1000000_5_items.csv</t>
  </si>
  <si>
    <t>27.54857468605041</t>
  </si>
  <si>
    <t>results/7/item_solutions/pi-15-1000-1000-001.kna_100000_1_items.csv</t>
  </si>
  <si>
    <t>18.858500719070435</t>
  </si>
  <si>
    <t>results/7/item_solutions/pi-15-1000-1000-001.kna_100000_10_items.csv</t>
  </si>
  <si>
    <t>19.863989114761356</t>
  </si>
  <si>
    <t>results/7/item_solutions/pi-15-1000-1000-001.kna_100000_15_items.csv</t>
  </si>
  <si>
    <t>19.96979331970215</t>
  </si>
  <si>
    <t>results/7/item_solutions/pi-15-1000-1000-001.kna_100000_20_items.csv</t>
  </si>
  <si>
    <t>21.15812420845032</t>
  </si>
  <si>
    <t>results/7/item_solutions/pi-15-1000-1000-001.kna_100000_5_items.csv</t>
  </si>
  <si>
    <t>1.90394139289856</t>
  </si>
  <si>
    <t>results/7/item_solutions/pi-15-1000-1000-001.kna_10000_1_items.csv</t>
  </si>
  <si>
    <t>2.185003757476806</t>
  </si>
  <si>
    <t>results/7/item_solutions/pi-15-1000-1000-001.kna_10000_10_items.csv</t>
  </si>
  <si>
    <t>1.911301612854004</t>
  </si>
  <si>
    <t>results/7/item_solutions/pi-15-1000-1000-001.kna_10000_15_items.csv</t>
  </si>
  <si>
    <t>1.976616382598877</t>
  </si>
  <si>
    <t>results/7/item_solutions/pi-15-1000-1000-001.kna_10000_20_items.csv</t>
  </si>
  <si>
    <t>1.947871446609497</t>
  </si>
  <si>
    <t>results/7/item_solutions/pi-15-1000-1000-001.kna_10000_5_items.csv</t>
  </si>
  <si>
    <t>0.1953358650207519</t>
  </si>
  <si>
    <t>results/7/item_solutions/pi-15-1000-1000-001.kna_1000_1_items.csv</t>
  </si>
  <si>
    <t>0.205127477645874</t>
  </si>
  <si>
    <t>results/7/item_solutions/pi-15-1000-1000-001.kna_1000_10_items.csv</t>
  </si>
  <si>
    <t>0.2187850475311279</t>
  </si>
  <si>
    <t>results/7/item_solutions/pi-15-1000-1000-001.kna_1000_15_items.csv</t>
  </si>
  <si>
    <t>0.2003166675567627</t>
  </si>
  <si>
    <t>results/7/item_solutions/pi-15-1000-1000-001.kna_1000_20_items.csv</t>
  </si>
  <si>
    <t>0.214271068572998</t>
  </si>
  <si>
    <t>results/7/item_solutions/pi-15-1000-1000-001.kna_1000_5_items.csv</t>
  </si>
  <si>
    <t>0.0170004367828369</t>
  </si>
  <si>
    <t>results/7/item_solutions/pi-15-1000-1000-001.kna_100_1_items.csv</t>
  </si>
  <si>
    <t>0.0199983119964599</t>
  </si>
  <si>
    <t>results/7/item_solutions/pi-15-1000-1000-001.kna_100_10_items.csv</t>
  </si>
  <si>
    <t>0.0214321613311767</t>
  </si>
  <si>
    <t>results/7/item_solutions/pi-15-1000-1000-001.kna_100_15_items.csv</t>
  </si>
  <si>
    <t>0.0200972557067871</t>
  </si>
  <si>
    <t>results/7/item_solutions/pi-15-1000-1000-001.kna_100_20_items.csv</t>
  </si>
  <si>
    <t>0.0243935585021972</t>
  </si>
  <si>
    <t>results/7/item_solutions/pi-15-1000-1000-001.kna_100_5_items.csv</t>
  </si>
  <si>
    <t>0.001997947692871</t>
  </si>
  <si>
    <t>results/7/item_solutions/pi-15-1000-1000-001.kna_10_1_items.csv</t>
  </si>
  <si>
    <t>0.0030016899108886</t>
  </si>
  <si>
    <t>results/7/item_solutions/pi-15-1000-1000-001.kna_10_10_items.csv</t>
  </si>
  <si>
    <t>0.0020327568054199</t>
  </si>
  <si>
    <t>results/7/item_solutions/pi-15-1000-1000-001.kna_10_15_items.csv</t>
  </si>
  <si>
    <t>results/7/item_solutions/pi-15-1000-1000-001.kna_10_20_items.csv</t>
  </si>
  <si>
    <t>0.0029993057250976</t>
  </si>
  <si>
    <t>results/7/item_solutions/pi-15-1000-1000-001.kna_10_5_items.csv</t>
  </si>
  <si>
    <t>96.6716332435608</t>
  </si>
  <si>
    <t>results/7/item_solutions/pi-15-1000-1000-001.kna_500000_1_items.csv</t>
  </si>
  <si>
    <t>127.268718957901</t>
  </si>
  <si>
    <t>results/7/item_solutions/pi-15-1000-1000-001.kna_500000_10_items.csv</t>
  </si>
  <si>
    <t>125.4975926876068</t>
  </si>
  <si>
    <t>results/7/item_solutions/pi-15-1000-1000-001.kna_500000_15_items.csv</t>
  </si>
  <si>
    <t>107.22024965286256</t>
  </si>
  <si>
    <t>results/7/item_solutions/pi-15-1000-1000-001.kna_500000_20_items.csv</t>
  </si>
  <si>
    <t>96.6054310798645</t>
  </si>
  <si>
    <t>results/7/item_solutions/pi-15-1000-1000-001.kna_500000_5_items.csv</t>
  </si>
  <si>
    <t>9.56263780593872</t>
  </si>
  <si>
    <t>results/7/item_solutions/pi-15-1000-1000-001.kna_50000_1_items.csv</t>
  </si>
  <si>
    <t>12.063108444213867</t>
  </si>
  <si>
    <t>results/7/item_solutions/pi-15-1000-1000-001.kna_50000_10_items.csv</t>
  </si>
  <si>
    <t>9.357295751571655</t>
  </si>
  <si>
    <t>results/7/item_solutions/pi-15-1000-1000-001.kna_50000_15_items.csv</t>
  </si>
  <si>
    <t>11.407365560531616</t>
  </si>
  <si>
    <t>results/7/item_solutions/pi-15-1000-1000-001.kna_50000_20_items.csv</t>
  </si>
  <si>
    <t>11.105720520019531</t>
  </si>
  <si>
    <t>results/7/item_solutions/pi-15-1000-1000-001.kna_50000_5_items.csv</t>
  </si>
  <si>
    <t>0.8692548274993896</t>
  </si>
  <si>
    <t>results/7/item_solutions/pi-15-1000-1000-001.kna_5000_1_items.csv</t>
  </si>
  <si>
    <t>1.0211801528930664</t>
  </si>
  <si>
    <t>results/7/item_solutions/pi-15-1000-1000-001.kna_5000_10_items.csv</t>
  </si>
  <si>
    <t>1.169771671295166</t>
  </si>
  <si>
    <t>results/7/item_solutions/pi-15-1000-1000-001.kna_5000_15_items.csv</t>
  </si>
  <si>
    <t>1.180950403213501</t>
  </si>
  <si>
    <t>results/7/item_solutions/pi-15-1000-1000-001.kna_5000_20_items.csv</t>
  </si>
  <si>
    <t>0.97318696975708</t>
  </si>
  <si>
    <t>results/7/item_solutions/pi-15-1000-1000-001.kna_5000_5_items.csv</t>
  </si>
  <si>
    <t>0.0915145874023437</t>
  </si>
  <si>
    <t>results/7/item_solutions/pi-15-1000-1000-001.kna_500_1_items.csv</t>
  </si>
  <si>
    <t>0.1233632564544677</t>
  </si>
  <si>
    <t>results/7/item_solutions/pi-15-1000-1000-001.kna_500_10_items.csv</t>
  </si>
  <si>
    <t>0.1168434619903564</t>
  </si>
  <si>
    <t>results/7/item_solutions/pi-15-1000-1000-001.kna_500_15_items.csv</t>
  </si>
  <si>
    <t>0.110086441040039</t>
  </si>
  <si>
    <t>results/7/item_solutions/pi-15-1000-1000-001.kna_500_20_items.csv</t>
  </si>
  <si>
    <t>0.094301700592041</t>
  </si>
  <si>
    <t>results/7/item_solutions/pi-15-1000-1000-001.kna_500_5_items.csv</t>
  </si>
  <si>
    <t>pi-15-10000-1000-001.kna</t>
  </si>
  <si>
    <t>4208.440181732178</t>
  </si>
  <si>
    <t>results/8/item_solutions/pi-15-10000-1000-001.kna_1000000_1_items.csv</t>
  </si>
  <si>
    <t>5158.792953968048</t>
  </si>
  <si>
    <t>results/8/item_solutions/pi-15-10000-1000-001.kna_1000000_10_items.csv</t>
  </si>
  <si>
    <t>4466.5206916332245</t>
  </si>
  <si>
    <t>results/8/item_solutions/pi-15-10000-1000-001.kna_1000000_15_items.csv</t>
  </si>
  <si>
    <t>4852.718308448792</t>
  </si>
  <si>
    <t>results/8/item_solutions/pi-15-10000-1000-001.kna_1000000_20_items.csv</t>
  </si>
  <si>
    <t>5057.379546165466</t>
  </si>
  <si>
    <t>results/8/item_solutions/pi-15-10000-1000-001.kna_1000000_5_items.csv</t>
  </si>
  <si>
    <t>403.7935364246368</t>
  </si>
  <si>
    <t>results/8/item_solutions/pi-15-10000-1000-001.kna_100000_1_items.csv</t>
  </si>
  <si>
    <t>415.2397677898407</t>
  </si>
  <si>
    <t>results/8/item_solutions/pi-15-10000-1000-001.kna_100000_10_items.csv</t>
  </si>
  <si>
    <t>439.6512792110443</t>
  </si>
  <si>
    <t>results/8/item_solutions/pi-15-10000-1000-001.kna_100000_15_items.csv</t>
  </si>
  <si>
    <t>400.74621987342834</t>
  </si>
  <si>
    <t>results/8/item_solutions/pi-15-10000-1000-001.kna_100000_20_items.csv</t>
  </si>
  <si>
    <t>406.7081513404846</t>
  </si>
  <si>
    <t>results/8/item_solutions/pi-15-10000-1000-001.kna_100000_5_items.csv</t>
  </si>
  <si>
    <t>41.18879318237305</t>
  </si>
  <si>
    <t>results/8/item_solutions/pi-15-10000-1000-001.kna_10000_1_items.csv</t>
  </si>
  <si>
    <t>43.56685185432434</t>
  </si>
  <si>
    <t>results/8/item_solutions/pi-15-10000-1000-001.kna_10000_10_items.csv</t>
  </si>
  <si>
    <t>43.2808313369751</t>
  </si>
  <si>
    <t>results/8/item_solutions/pi-15-10000-1000-001.kna_10000_15_items.csv</t>
  </si>
  <si>
    <t>46.89704418182373</t>
  </si>
  <si>
    <t>results/8/item_solutions/pi-15-10000-1000-001.kna_10000_20_items.csv</t>
  </si>
  <si>
    <t>43.326387882232666</t>
  </si>
  <si>
    <t>results/8/item_solutions/pi-15-10000-1000-001.kna_10000_5_items.csv</t>
  </si>
  <si>
    <t>4.61042332649231</t>
  </si>
  <si>
    <t>results/8/item_solutions/pi-15-10000-1000-001.kna_1000_1_items.csv</t>
  </si>
  <si>
    <t>4.0036492347717285</t>
  </si>
  <si>
    <t>results/8/item_solutions/pi-15-10000-1000-001.kna_1000_10_items.csv</t>
  </si>
  <si>
    <t>4.8431360721588135</t>
  </si>
  <si>
    <t>results/8/item_solutions/pi-15-10000-1000-001.kna_1000_15_items.csv</t>
  </si>
  <si>
    <t>4.327082395553589</t>
  </si>
  <si>
    <t>results/8/item_solutions/pi-15-10000-1000-001.kna_1000_20_items.csv</t>
  </si>
  <si>
    <t>4.373608112335205</t>
  </si>
  <si>
    <t>results/8/item_solutions/pi-15-10000-1000-001.kna_1000_5_items.csv</t>
  </si>
  <si>
    <t>0.4403557777404785</t>
  </si>
  <si>
    <t>results/8/item_solutions/pi-15-10000-1000-001.kna_100_1_items.csv</t>
  </si>
  <si>
    <t>0.4905829429626465</t>
  </si>
  <si>
    <t>results/8/item_solutions/pi-15-10000-1000-001.kna_100_10_items.csv</t>
  </si>
  <si>
    <t>0.4847016334533691</t>
  </si>
  <si>
    <t>results/8/item_solutions/pi-15-10000-1000-001.kna_100_15_items.csv</t>
  </si>
  <si>
    <t>0.5431399345397949</t>
  </si>
  <si>
    <t>results/8/item_solutions/pi-15-10000-1000-001.kna_100_20_items.csv</t>
  </si>
  <si>
    <t>0.7788286209106445</t>
  </si>
  <si>
    <t>results/8/item_solutions/pi-15-10000-1000-001.kna_100_5_items.csv</t>
  </si>
  <si>
    <t>0.0932297706604003</t>
  </si>
  <si>
    <t>results/8/item_solutions/pi-15-10000-1000-001.kna_10_1_items.csv</t>
  </si>
  <si>
    <t>0.0495393276214599</t>
  </si>
  <si>
    <t>results/8/item_solutions/pi-15-10000-1000-001.kna_10_10_items.csv</t>
  </si>
  <si>
    <t>0.0955481529235839</t>
  </si>
  <si>
    <t>results/8/item_solutions/pi-15-10000-1000-001.kna_10_15_items.csv</t>
  </si>
  <si>
    <t>0.0506331920623779</t>
  </si>
  <si>
    <t>results/8/item_solutions/pi-15-10000-1000-001.kna_10_20_items.csv</t>
  </si>
  <si>
    <t>0.052006721496582</t>
  </si>
  <si>
    <t>results/8/item_solutions/pi-15-10000-1000-001.kna_10_5_items.csv</t>
  </si>
  <si>
    <t>2170.365513563156</t>
  </si>
  <si>
    <t>results/8/item_solutions/pi-15-10000-1000-001.kna_500000_1_items.csv</t>
  </si>
  <si>
    <t>2254.487553358078</t>
  </si>
  <si>
    <t>results/8/item_solutions/pi-15-10000-1000-001.kna_500000_10_items.csv</t>
  </si>
  <si>
    <t>2452.755290031433</t>
  </si>
  <si>
    <t>results/8/item_solutions/pi-15-10000-1000-001.kna_500000_15_items.csv</t>
  </si>
  <si>
    <t>2202.8064403533936</t>
  </si>
  <si>
    <t>results/8/item_solutions/pi-15-10000-1000-001.kna_500000_20_items.csv</t>
  </si>
  <si>
    <t>2079.392572402954</t>
  </si>
  <si>
    <t>results/8/item_solutions/pi-15-10000-1000-001.kna_500000_5_items.csv</t>
  </si>
  <si>
    <t>205.44485759735107</t>
  </si>
  <si>
    <t>results/8/item_solutions/pi-15-10000-1000-001.kna_50000_1_items.csv</t>
  </si>
  <si>
    <t>227.99898886680603</t>
  </si>
  <si>
    <t>results/8/item_solutions/pi-15-10000-1000-001.kna_50000_10_items.csv</t>
  </si>
  <si>
    <t>214.3591592311859</t>
  </si>
  <si>
    <t>results/8/item_solutions/pi-15-10000-1000-001.kna_50000_15_items.csv</t>
  </si>
  <si>
    <t>237.0860857963562</t>
  </si>
  <si>
    <t>results/8/item_solutions/pi-15-10000-1000-001.kna_50000_20_items.csv</t>
  </si>
  <si>
    <t>217.67868542671204</t>
  </si>
  <si>
    <t>results/8/item_solutions/pi-15-10000-1000-001.kna_50000_5_items.csv</t>
  </si>
  <si>
    <t>21.73772644996643</t>
  </si>
  <si>
    <t>results/8/item_solutions/pi-15-10000-1000-001.kna_5000_1_items.csv</t>
  </si>
  <si>
    <t>21.07400107383728</t>
  </si>
  <si>
    <t>results/8/item_solutions/pi-15-10000-1000-001.kna_5000_10_items.csv</t>
  </si>
  <si>
    <t>22.046640157699585</t>
  </si>
  <si>
    <t>results/8/item_solutions/pi-15-10000-1000-001.kna_5000_15_items.csv</t>
  </si>
  <si>
    <t>19.04769086837769</t>
  </si>
  <si>
    <t>results/8/item_solutions/pi-15-10000-1000-001.kna_5000_20_items.csv</t>
  </si>
  <si>
    <t>21.24821138381958</t>
  </si>
  <si>
    <t>results/8/item_solutions/pi-15-10000-1000-001.kna_5000_5_items.csv</t>
  </si>
  <si>
    <t>2.140954971313477</t>
  </si>
  <si>
    <t>results/8/item_solutions/pi-15-10000-1000-001.kna_500_1_items.csv</t>
  </si>
  <si>
    <t>2.2566189765930176</t>
  </si>
  <si>
    <t>results/8/item_solutions/pi-15-10000-1000-001.kna_500_10_items.csv</t>
  </si>
  <si>
    <t>2.2005980014801025</t>
  </si>
  <si>
    <t>results/8/item_solutions/pi-15-10000-1000-001.kna_500_15_items.csv</t>
  </si>
  <si>
    <t>2.0479564666748047</t>
  </si>
  <si>
    <t>results/8/item_solutions/pi-15-10000-1000-001.kna_500_20_items.csv</t>
  </si>
  <si>
    <t>2.195119619369507</t>
  </si>
  <si>
    <t>results/8/item_solutions/pi-15-10000-1000-001.kna_500_5_items.csv</t>
  </si>
  <si>
    <t>Étiquettes de lignes</t>
  </si>
  <si>
    <t>Total général</t>
  </si>
  <si>
    <t>Somme de Total profit</t>
  </si>
  <si>
    <t>Moyenne de Total profit</t>
  </si>
  <si>
    <t>Max_total_profit_found</t>
  </si>
  <si>
    <t>Exec_time_average</t>
  </si>
  <si>
    <t>tps_nb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</si>
</sst>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9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[résultat_Tabou.xlsx]results_0_fusionné!Tableau croisé dynamique16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MOY</a:t>
            </a:r>
            <a:r>
              <a:rPr lang="en-US" baseline="0"/>
              <a:t> TOTAL PROFIT/ITERATIONS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'results_0_fusionné'!$B$60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'results_0_fusionné'!$A$61:$A$71</c:f>
              <c:strCache>
                <c:ptCount val="10"/>
                <c:pt idx="0">
                  <c:v>10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  <c:pt idx="9">
                  <c:v>1000000</c:v>
                </c:pt>
              </c:strCache>
            </c:strRef>
          </c:cat>
          <c:val>
            <c:numRef>
              <c:f>'results_0_fusionné'!$B$61:$B$71</c:f>
              <c:numCache>
                <c:formatCode>General</c:formatCode>
                <c:ptCount val="10"/>
                <c:pt idx="0">
                  <c:v>952</c:v>
                </c:pt>
                <c:pt idx="1">
                  <c:v>921.6</c:v>
                </c:pt>
                <c:pt idx="2">
                  <c:v>921.6</c:v>
                </c:pt>
                <c:pt idx="3">
                  <c:v>970</c:v>
                </c:pt>
                <c:pt idx="4">
                  <c:v>970</c:v>
                </c:pt>
                <c:pt idx="5">
                  <c:v>970</c:v>
                </c:pt>
                <c:pt idx="6">
                  <c:v>970</c:v>
                </c:pt>
                <c:pt idx="7">
                  <c:v>970</c:v>
                </c:pt>
                <c:pt idx="8">
                  <c:v>970</c:v>
                </c:pt>
                <c:pt idx="9">
                  <c:v>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A-45B0-B4DA-56B48F3CF1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62275312"/>
        <c:axId val="462274832"/>
      </c:barChart>
      <c:catAx>
        <c:axId val="46227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2274832"/>
        <c:crosses val="autoZero"/>
        <c:auto val="1"/>
        <c:lblAlgn val="ctr"/>
        <c:lblOffset val="100"/>
        <c:noMultiLvlLbl val="0"/>
      </c:catAx>
      <c:valAx>
        <c:axId val="4622748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6227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[résultat_Tabou.xlsx]results_0_fusionné!Tableau croisé dynamique17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MOY TOTAL PROFIT/LISTE TABOU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'results_0_fusionné'!$B$77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'results_0_fusionné'!$A$78:$A$83</c:f>
              <c:strCach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strCache>
            </c:strRef>
          </c:cat>
          <c:val>
            <c:numRef>
              <c:f>'results_0_fusionné'!$B$78:$B$83</c:f>
              <c:numCache>
                <c:formatCode>General</c:formatCode>
                <c:ptCount val="5"/>
                <c:pt idx="0">
                  <c:v>929.9</c:v>
                </c:pt>
                <c:pt idx="1">
                  <c:v>970</c:v>
                </c:pt>
                <c:pt idx="2">
                  <c:v>961</c:v>
                </c:pt>
                <c:pt idx="3">
                  <c:v>961.7</c:v>
                </c:pt>
                <c:pt idx="4">
                  <c:v>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8D-433C-89DF-F409F8741E4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7440496"/>
        <c:axId val="577442896"/>
      </c:lineChart>
      <c:catAx>
        <c:axId val="577440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7442896"/>
        <c:crosses val="autoZero"/>
        <c:auto val="1"/>
        <c:lblAlgn val="ctr"/>
        <c:lblOffset val="100"/>
        <c:noMultiLvlLbl val="0"/>
      </c:catAx>
      <c:valAx>
        <c:axId val="57744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744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[résultat_Tabou.xlsx]results_1_fusionné!Tableau croisé dynamique18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MOY TOTAL PROFIT/ITERATIONS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'results_1_fusionné'!$B$60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'results_1_fusionné'!$A$61:$A$71</c:f>
              <c:strCache>
                <c:ptCount val="10"/>
                <c:pt idx="0">
                  <c:v>10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  <c:pt idx="9">
                  <c:v>1000000</c:v>
                </c:pt>
              </c:strCache>
            </c:strRef>
          </c:cat>
          <c:val>
            <c:numRef>
              <c:f>'results_1_fusionné'!$B$61:$B$71</c:f>
              <c:numCache>
                <c:formatCode>General</c:formatCode>
                <c:ptCount val="10"/>
                <c:pt idx="0">
                  <c:v>4221</c:v>
                </c:pt>
                <c:pt idx="1">
                  <c:v>4230</c:v>
                </c:pt>
                <c:pt idx="2">
                  <c:v>4204.3999999999996</c:v>
                </c:pt>
                <c:pt idx="3">
                  <c:v>4175.3999999999996</c:v>
                </c:pt>
                <c:pt idx="4">
                  <c:v>4252.8</c:v>
                </c:pt>
                <c:pt idx="5">
                  <c:v>4149.8</c:v>
                </c:pt>
                <c:pt idx="6">
                  <c:v>4236.2</c:v>
                </c:pt>
                <c:pt idx="7">
                  <c:v>4096.6000000000004</c:v>
                </c:pt>
                <c:pt idx="8">
                  <c:v>4283.2</c:v>
                </c:pt>
                <c:pt idx="9">
                  <c:v>4307.3999999999996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3-4D1E-A6C0-2F559C0FFF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72479808"/>
        <c:axId val="672477408"/>
      </c:barChart>
      <c:catAx>
        <c:axId val="67247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2477408"/>
        <c:crosses val="autoZero"/>
        <c:auto val="1"/>
        <c:lblAlgn val="ctr"/>
        <c:lblOffset val="100"/>
        <c:noMultiLvlLbl val="0"/>
      </c:catAx>
      <c:valAx>
        <c:axId val="6724774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247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[résultat_Tabou.xlsx]results_1_fusionné!Tableau croisé dynamique19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rgbClr val="0E284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MOY TOTAL PROFIT/LISTE TABOU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rgbClr val="0E284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'results_1_fusionné'!$B$77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'results_1_fusionné'!$A$78:$A$83</c:f>
              <c:strCach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strCache>
            </c:strRef>
          </c:cat>
          <c:val>
            <c:numRef>
              <c:f>'results_1_fusionné'!$B$78:$B$83</c:f>
              <c:numCache>
                <c:formatCode>General</c:formatCode>
                <c:ptCount val="5"/>
                <c:pt idx="0">
                  <c:v>4185.3999999999996</c:v>
                </c:pt>
                <c:pt idx="1">
                  <c:v>4127</c:v>
                </c:pt>
                <c:pt idx="2">
                  <c:v>4217.8999999999996</c:v>
                </c:pt>
                <c:pt idx="3">
                  <c:v>4306.7</c:v>
                </c:pt>
                <c:pt idx="4">
                  <c:v>4241.3999999999996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39-4276-B03A-96E13BE34F8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13513440"/>
        <c:axId val="1413512480"/>
      </c:lineChart>
      <c:catAx>
        <c:axId val="141351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3512480"/>
        <c:crosses val="autoZero"/>
        <c:auto val="1"/>
        <c:lblAlgn val="ctr"/>
        <c:lblOffset val="100"/>
        <c:noMultiLvlLbl val="0"/>
      </c:catAx>
      <c:valAx>
        <c:axId val="141351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351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[résultat_Tabou.xlsx]results_2_fusionné!Tableau croisé dynamique20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'results_2_fusionné'!$B$60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'results_2_fusionné'!$A$61:$A$71</c:f>
              <c:strCache>
                <c:ptCount val="10"/>
                <c:pt idx="0">
                  <c:v>10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  <c:pt idx="9">
                  <c:v>1000000</c:v>
                </c:pt>
              </c:strCache>
            </c:strRef>
          </c:cat>
          <c:val>
            <c:numRef>
              <c:f>'results_2_fusionné'!$B$61:$B$71</c:f>
              <c:numCache>
                <c:formatCode>General</c:formatCode>
                <c:ptCount val="10"/>
                <c:pt idx="0">
                  <c:v>41399.4</c:v>
                </c:pt>
                <c:pt idx="1">
                  <c:v>41305.4</c:v>
                </c:pt>
                <c:pt idx="2">
                  <c:v>41514.800000000003</c:v>
                </c:pt>
                <c:pt idx="3">
                  <c:v>41288.800000000003</c:v>
                </c:pt>
                <c:pt idx="4">
                  <c:v>41282.6</c:v>
                </c:pt>
                <c:pt idx="5">
                  <c:v>40769.800000000003</c:v>
                </c:pt>
                <c:pt idx="6">
                  <c:v>41461.599999999999</c:v>
                </c:pt>
                <c:pt idx="7">
                  <c:v>41537.599999999999</c:v>
                </c:pt>
                <c:pt idx="8">
                  <c:v>41428.400000000001</c:v>
                </c:pt>
                <c:pt idx="9">
                  <c:v>41320.6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4-413F-8FC8-6C99688DD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205392"/>
        <c:axId val="1413202032"/>
      </c:barChart>
      <c:catAx>
        <c:axId val="141320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3202032"/>
        <c:crosses val="autoZero"/>
        <c:auto val="1"/>
        <c:lblAlgn val="ctr"/>
        <c:lblOffset val="100"/>
        <c:noMultiLvlLbl val="0"/>
      </c:catAx>
      <c:valAx>
        <c:axId val="141320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320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[résultat_Tabou.xlsx]results_2_fusionné!Tableau croisé dynamique21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'results_2_fusionné'!$B$77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'results_2_fusionné'!$A$78:$A$83</c:f>
              <c:strCach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strCache>
            </c:strRef>
          </c:cat>
          <c:val>
            <c:numRef>
              <c:f>'results_2_fusionné'!$B$78:$B$83</c:f>
              <c:numCache>
                <c:formatCode>General</c:formatCode>
                <c:ptCount val="5"/>
                <c:pt idx="0">
                  <c:v>41111.9</c:v>
                </c:pt>
                <c:pt idx="1">
                  <c:v>41259.1</c:v>
                </c:pt>
                <c:pt idx="2">
                  <c:v>41421.5</c:v>
                </c:pt>
                <c:pt idx="3">
                  <c:v>41316.1</c:v>
                </c:pt>
                <c:pt idx="4">
                  <c:v>41545.9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C0-4E24-B99F-CD246D57D6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5911263"/>
        <c:axId val="125910783"/>
      </c:lineChart>
      <c:catAx>
        <c:axId val="12591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910783"/>
        <c:crosses val="autoZero"/>
        <c:auto val="1"/>
        <c:lblAlgn val="ctr"/>
        <c:lblOffset val="100"/>
        <c:noMultiLvlLbl val="0"/>
      </c:catAx>
      <c:valAx>
        <c:axId val="12591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91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[résultat_Tabou.xlsx]results_3_fusionné!Tableau croisé dynamique22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'results_3_fusionné'!$B$60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'results_3_fusionné'!$A$61:$A$71</c:f>
              <c:strCache>
                <c:ptCount val="10"/>
                <c:pt idx="0">
                  <c:v>10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  <c:pt idx="9">
                  <c:v>1000000</c:v>
                </c:pt>
              </c:strCache>
            </c:strRef>
          </c:cat>
          <c:val>
            <c:numRef>
              <c:f>'results_3_fusionné'!$B$61:$B$71</c:f>
              <c:numCache>
                <c:formatCode>General</c:formatCode>
                <c:ptCount val="10"/>
                <c:pt idx="0">
                  <c:v>1482</c:v>
                </c:pt>
                <c:pt idx="1">
                  <c:v>1497.6</c:v>
                </c:pt>
                <c:pt idx="2">
                  <c:v>1310.4000000000001</c:v>
                </c:pt>
                <c:pt idx="3">
                  <c:v>1505.4</c:v>
                </c:pt>
                <c:pt idx="4">
                  <c:v>1388.4</c:v>
                </c:pt>
                <c:pt idx="5">
                  <c:v>1505.4</c:v>
                </c:pt>
                <c:pt idx="6">
                  <c:v>1372.8</c:v>
                </c:pt>
                <c:pt idx="7">
                  <c:v>1645.8</c:v>
                </c:pt>
                <c:pt idx="8">
                  <c:v>1739.4</c:v>
                </c:pt>
                <c:pt idx="9">
                  <c:v>1404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4-4CA0-B0F7-4DC9ADB45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203472"/>
        <c:axId val="1413204432"/>
      </c:barChart>
      <c:catAx>
        <c:axId val="141320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3204432"/>
        <c:crosses val="autoZero"/>
        <c:auto val="1"/>
        <c:lblAlgn val="ctr"/>
        <c:lblOffset val="100"/>
        <c:noMultiLvlLbl val="0"/>
      </c:catAx>
      <c:valAx>
        <c:axId val="141320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320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[résultat_Tabou.xlsx]results_3_fusionné!Tableau croisé dynamique23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'results_3_fusionné'!$B$77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'results_3_fusionné'!$A$78:$A$83</c:f>
              <c:strCach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strCache>
            </c:strRef>
          </c:cat>
          <c:val>
            <c:numRef>
              <c:f>'results_3_fusionné'!$B$78:$B$83</c:f>
              <c:numCache>
                <c:formatCode>General</c:formatCode>
                <c:ptCount val="5"/>
                <c:pt idx="0">
                  <c:v>1357.2</c:v>
                </c:pt>
                <c:pt idx="1">
                  <c:v>1427.4</c:v>
                </c:pt>
                <c:pt idx="2">
                  <c:v>1521</c:v>
                </c:pt>
                <c:pt idx="3">
                  <c:v>1579.5</c:v>
                </c:pt>
                <c:pt idx="4">
                  <c:v>1540.5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3-4319-8D0A-A3BC41259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382096"/>
        <c:axId val="466170976"/>
      </c:barChart>
      <c:catAx>
        <c:axId val="58438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6170976"/>
        <c:crosses val="autoZero"/>
        <c:auto val="1"/>
        <c:lblAlgn val="ctr"/>
        <c:lblOffset val="100"/>
        <c:noMultiLvlLbl val="0"/>
      </c:catAx>
      <c:valAx>
        <c:axId val="46617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438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[résultat_Tabou.xlsx]results_4_fusionné!Tableau croisé dynamique24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'results_4_fusionné'!$B$60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'results_4_fusionné'!$A$61:$A$71</c:f>
              <c:strCache>
                <c:ptCount val="10"/>
                <c:pt idx="0">
                  <c:v>10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  <c:pt idx="9">
                  <c:v>1000000</c:v>
                </c:pt>
              </c:strCache>
            </c:strRef>
          </c:cat>
          <c:val>
            <c:numRef>
              <c:f>'results_4_fusionné'!$B$61:$B$71</c:f>
              <c:numCache>
                <c:formatCode>General</c:formatCode>
                <c:ptCount val="10"/>
                <c:pt idx="0">
                  <c:v>4407</c:v>
                </c:pt>
                <c:pt idx="1">
                  <c:v>4547.3999999999996</c:v>
                </c:pt>
                <c:pt idx="2">
                  <c:v>4430.3999999999996</c:v>
                </c:pt>
                <c:pt idx="3">
                  <c:v>4500.6000000000004</c:v>
                </c:pt>
                <c:pt idx="4">
                  <c:v>4680</c:v>
                </c:pt>
                <c:pt idx="5">
                  <c:v>4438.2</c:v>
                </c:pt>
                <c:pt idx="6">
                  <c:v>4430.3999999999996</c:v>
                </c:pt>
                <c:pt idx="7">
                  <c:v>4461.6000000000004</c:v>
                </c:pt>
                <c:pt idx="8">
                  <c:v>4531.8</c:v>
                </c:pt>
                <c:pt idx="9">
                  <c:v>4453.8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6-44A9-8329-3D5AB5985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065871"/>
        <c:axId val="137069231"/>
      </c:barChart>
      <c:catAx>
        <c:axId val="13706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069231"/>
        <c:crosses val="autoZero"/>
        <c:auto val="1"/>
        <c:lblAlgn val="ctr"/>
        <c:lblOffset val="100"/>
        <c:noMultiLvlLbl val="0"/>
      </c:catAx>
      <c:valAx>
        <c:axId val="13706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06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[résultat_Tabou.xlsx]results_4_fusionné!Tableau croisé dynamique25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'results_4_fusionné'!$B$77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'results_4_fusionné'!$A$78:$A$83</c:f>
              <c:strCach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strCache>
            </c:strRef>
          </c:cat>
          <c:val>
            <c:numRef>
              <c:f>'results_4_fusionné'!$B$78:$B$83</c:f>
              <c:numCache>
                <c:formatCode>General</c:formatCode>
                <c:ptCount val="5"/>
                <c:pt idx="0">
                  <c:v>43524</c:v>
                </c:pt>
                <c:pt idx="1">
                  <c:v>43875</c:v>
                </c:pt>
                <c:pt idx="2">
                  <c:v>45903</c:v>
                </c:pt>
                <c:pt idx="3">
                  <c:v>44343</c:v>
                </c:pt>
                <c:pt idx="4">
                  <c:v>46761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4-4111-82B4-A48BD7AED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7259440"/>
        <c:axId val="584882032"/>
      </c:barChart>
      <c:catAx>
        <c:axId val="210725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4882032"/>
        <c:crosses val="autoZero"/>
        <c:auto val="1"/>
        <c:lblAlgn val="ctr"/>
        <c:lblOffset val="100"/>
        <c:noMultiLvlLbl val="0"/>
      </c:catAx>
      <c:valAx>
        <c:axId val="58488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725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[résultat_Tabou.xlsx]results_5_fusionné!Tableau croisé dynamique26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'results_5_fusionné'!$B$60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'results_5_fusionné'!$A$61:$A$71</c:f>
              <c:strCache>
                <c:ptCount val="10"/>
                <c:pt idx="0">
                  <c:v>10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  <c:pt idx="9">
                  <c:v>1000000</c:v>
                </c:pt>
              </c:strCache>
            </c:strRef>
          </c:cat>
          <c:val>
            <c:numRef>
              <c:f>'results_5_fusionné'!$B$61:$B$71</c:f>
              <c:numCache>
                <c:formatCode>General</c:formatCode>
                <c:ptCount val="10"/>
                <c:pt idx="0">
                  <c:v>42127.8</c:v>
                </c:pt>
                <c:pt idx="1">
                  <c:v>41823.599999999999</c:v>
                </c:pt>
                <c:pt idx="2">
                  <c:v>42580.2</c:v>
                </c:pt>
                <c:pt idx="3">
                  <c:v>42853.2</c:v>
                </c:pt>
                <c:pt idx="4">
                  <c:v>42432</c:v>
                </c:pt>
                <c:pt idx="5">
                  <c:v>42205.8</c:v>
                </c:pt>
                <c:pt idx="6">
                  <c:v>42291.6</c:v>
                </c:pt>
                <c:pt idx="7">
                  <c:v>42346.2</c:v>
                </c:pt>
                <c:pt idx="8">
                  <c:v>41839.199999999997</c:v>
                </c:pt>
                <c:pt idx="9">
                  <c:v>42221.4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DB-4CE8-90D5-134F827AB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402799"/>
        <c:axId val="89400399"/>
      </c:barChart>
      <c:catAx>
        <c:axId val="8940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400399"/>
        <c:crosses val="autoZero"/>
        <c:auto val="1"/>
        <c:lblAlgn val="ctr"/>
        <c:lblOffset val="100"/>
        <c:noMultiLvlLbl val="0"/>
      </c:catAx>
      <c:valAx>
        <c:axId val="8940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40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[résultat_Tabou.xlsx]results_5_fusionné!Tableau croisé dynamique27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'results_5_fusionné'!$B$77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'results_5_fusionné'!$A$78:$A$83</c:f>
              <c:strCach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strCache>
            </c:strRef>
          </c:cat>
          <c:val>
            <c:numRef>
              <c:f>'results_5_fusionné'!$B$78:$B$83</c:f>
              <c:numCache>
                <c:formatCode>General</c:formatCode>
                <c:ptCount val="5"/>
                <c:pt idx="0">
                  <c:v>42525.599999999999</c:v>
                </c:pt>
                <c:pt idx="1">
                  <c:v>42248.7</c:v>
                </c:pt>
                <c:pt idx="2">
                  <c:v>42338.400000000001</c:v>
                </c:pt>
                <c:pt idx="3">
                  <c:v>41874.300000000003</c:v>
                </c:pt>
                <c:pt idx="4">
                  <c:v>42373.5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4-4340-96CD-A0FAC9862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316944"/>
        <c:axId val="584315504"/>
      </c:barChart>
      <c:catAx>
        <c:axId val="58431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4315504"/>
        <c:crosses val="autoZero"/>
        <c:auto val="1"/>
        <c:lblAlgn val="ctr"/>
        <c:lblOffset val="100"/>
        <c:noMultiLvlLbl val="0"/>
      </c:catAx>
      <c:valAx>
        <c:axId val="58431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431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[résultat_Tabou.xlsx]results_6_fusionné!Tableau croisé dynamique1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'results_6_fusionné'!$B$60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'results_6_fusionné'!$A$61:$A$71</c:f>
              <c:strCache>
                <c:ptCount val="10"/>
                <c:pt idx="0">
                  <c:v>10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  <c:pt idx="9">
                  <c:v>1000000</c:v>
                </c:pt>
              </c:strCache>
            </c:strRef>
          </c:cat>
          <c:val>
            <c:numRef>
              <c:f>'results_6_fusionné'!$B$61:$B$71</c:f>
              <c:numCache>
                <c:formatCode>General</c:formatCode>
                <c:ptCount val="10"/>
                <c:pt idx="0">
                  <c:v>999</c:v>
                </c:pt>
                <c:pt idx="1">
                  <c:v>999</c:v>
                </c:pt>
                <c:pt idx="2">
                  <c:v>997.8</c:v>
                </c:pt>
                <c:pt idx="3">
                  <c:v>1002</c:v>
                </c:pt>
                <c:pt idx="4">
                  <c:v>999.6</c:v>
                </c:pt>
                <c:pt idx="5">
                  <c:v>1000.2</c:v>
                </c:pt>
                <c:pt idx="6">
                  <c:v>998.4</c:v>
                </c:pt>
                <c:pt idx="7">
                  <c:v>999</c:v>
                </c:pt>
                <c:pt idx="8">
                  <c:v>1000.2</c:v>
                </c:pt>
                <c:pt idx="9">
                  <c:v>1000.8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2-42D0-913E-82303D2D6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3769407"/>
        <c:axId val="1353766047"/>
      </c:barChart>
      <c:catAx>
        <c:axId val="135376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53766047"/>
        <c:crosses val="autoZero"/>
        <c:auto val="1"/>
        <c:lblAlgn val="ctr"/>
        <c:lblOffset val="100"/>
        <c:noMultiLvlLbl val="0"/>
      </c:catAx>
      <c:valAx>
        <c:axId val="135376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5376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[résultat_Tabou.xlsx]results_6_fusionné!Tableau croisé dynamique2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'results_6_fusionné'!$B$77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'results_6_fusionné'!$A$78:$A$83</c:f>
              <c:strCach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strCache>
            </c:strRef>
          </c:cat>
          <c:val>
            <c:numRef>
              <c:f>'results_6_fusionné'!$B$78:$B$83</c:f>
              <c:numCache>
                <c:formatCode>General</c:formatCode>
                <c:ptCount val="5"/>
                <c:pt idx="0">
                  <c:v>999</c:v>
                </c:pt>
                <c:pt idx="1">
                  <c:v>999.3</c:v>
                </c:pt>
                <c:pt idx="2">
                  <c:v>1000.8</c:v>
                </c:pt>
                <c:pt idx="3">
                  <c:v>998.4</c:v>
                </c:pt>
                <c:pt idx="4">
                  <c:v>1000.5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F-4F8C-9AFC-7AB60A45C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3783327"/>
        <c:axId val="1353780447"/>
      </c:barChart>
      <c:catAx>
        <c:axId val="135378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53780447"/>
        <c:crosses val="autoZero"/>
        <c:auto val="1"/>
        <c:lblAlgn val="ctr"/>
        <c:lblOffset val="100"/>
        <c:noMultiLvlLbl val="0"/>
      </c:catAx>
      <c:valAx>
        <c:axId val="135378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5378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[résultat_Tabou.xlsx]results_7_fusionné!Tableau croisé dynamique5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'results_7_fusionné'!$B$60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'results_7_fusionné'!$A$61:$A$71</c:f>
              <c:strCache>
                <c:ptCount val="10"/>
                <c:pt idx="0">
                  <c:v>10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  <c:pt idx="9">
                  <c:v>1000000</c:v>
                </c:pt>
              </c:strCache>
            </c:strRef>
          </c:cat>
          <c:val>
            <c:numRef>
              <c:f>'results_7_fusionné'!$B$61:$B$71</c:f>
              <c:numCache>
                <c:formatCode>General</c:formatCode>
                <c:ptCount val="10"/>
                <c:pt idx="0">
                  <c:v>4831.2</c:v>
                </c:pt>
                <c:pt idx="1">
                  <c:v>4832.3999999999996</c:v>
                </c:pt>
                <c:pt idx="2">
                  <c:v>4827.6000000000004</c:v>
                </c:pt>
                <c:pt idx="3">
                  <c:v>4831.2</c:v>
                </c:pt>
                <c:pt idx="4">
                  <c:v>4830</c:v>
                </c:pt>
                <c:pt idx="5">
                  <c:v>4831.8</c:v>
                </c:pt>
                <c:pt idx="6">
                  <c:v>4828.2</c:v>
                </c:pt>
                <c:pt idx="7">
                  <c:v>4830.6000000000004</c:v>
                </c:pt>
                <c:pt idx="8">
                  <c:v>4828.2</c:v>
                </c:pt>
                <c:pt idx="9">
                  <c:v>4830.6000000000004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2E-4D7F-8B20-2B65208835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53805887"/>
        <c:axId val="1353806367"/>
      </c:barChart>
      <c:catAx>
        <c:axId val="135380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53806367"/>
        <c:crosses val="autoZero"/>
        <c:auto val="1"/>
        <c:lblAlgn val="ctr"/>
        <c:lblOffset val="100"/>
        <c:noMultiLvlLbl val="0"/>
      </c:catAx>
      <c:valAx>
        <c:axId val="135380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5380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[résultat_Tabou.xlsx]results_7_fusionné!Tableau croisé dynamique6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'results_7_fusionné'!$B$77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'results_7_fusionné'!$A$78:$A$83</c:f>
              <c:strCach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strCache>
            </c:strRef>
          </c:cat>
          <c:val>
            <c:numRef>
              <c:f>'results_7_fusionné'!$B$78:$B$83</c:f>
              <c:numCache>
                <c:formatCode>General</c:formatCode>
                <c:ptCount val="5"/>
                <c:pt idx="0">
                  <c:v>4829.3999999999996</c:v>
                </c:pt>
                <c:pt idx="1">
                  <c:v>4830.3</c:v>
                </c:pt>
                <c:pt idx="2">
                  <c:v>4829.1000000000004</c:v>
                </c:pt>
                <c:pt idx="3">
                  <c:v>4831.8</c:v>
                </c:pt>
                <c:pt idx="4">
                  <c:v>4830.3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5-43CE-BB52-DB6D2FD12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3811167"/>
        <c:axId val="1353812607"/>
      </c:barChart>
      <c:catAx>
        <c:axId val="135381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53812607"/>
        <c:crosses val="autoZero"/>
        <c:auto val="1"/>
        <c:lblAlgn val="ctr"/>
        <c:lblOffset val="100"/>
        <c:noMultiLvlLbl val="0"/>
      </c:catAx>
      <c:valAx>
        <c:axId val="135381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5381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[résultat_Tabou.xlsx]results_8_fusionné!Tableau croisé dynamique7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'results_8_fusionné'!$B$60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'results_8_fusionné'!$A$61:$A$71</c:f>
              <c:strCache>
                <c:ptCount val="10"/>
                <c:pt idx="0">
                  <c:v>10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  <c:pt idx="9">
                  <c:v>1000000</c:v>
                </c:pt>
              </c:strCache>
            </c:strRef>
          </c:cat>
          <c:val>
            <c:numRef>
              <c:f>'results_8_fusionné'!$B$61:$B$71</c:f>
              <c:numCache>
                <c:formatCode>General</c:formatCode>
                <c:ptCount val="10"/>
                <c:pt idx="0">
                  <c:v>49409.4</c:v>
                </c:pt>
                <c:pt idx="1">
                  <c:v>49394.400000000001</c:v>
                </c:pt>
                <c:pt idx="2">
                  <c:v>49399.8</c:v>
                </c:pt>
                <c:pt idx="3">
                  <c:v>49402.8</c:v>
                </c:pt>
                <c:pt idx="4">
                  <c:v>49405.2</c:v>
                </c:pt>
                <c:pt idx="5">
                  <c:v>49399.199999999997</c:v>
                </c:pt>
                <c:pt idx="6">
                  <c:v>49395.6</c:v>
                </c:pt>
                <c:pt idx="7">
                  <c:v>49397.4</c:v>
                </c:pt>
                <c:pt idx="8">
                  <c:v>49407</c:v>
                </c:pt>
                <c:pt idx="9">
                  <c:v>49400.4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9-42EC-9A14-22E46D80A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3880351"/>
        <c:axId val="893881791"/>
      </c:barChart>
      <c:catAx>
        <c:axId val="89388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3881791"/>
        <c:crosses val="autoZero"/>
        <c:auto val="1"/>
        <c:lblAlgn val="ctr"/>
        <c:lblOffset val="100"/>
        <c:noMultiLvlLbl val="0"/>
      </c:catAx>
      <c:valAx>
        <c:axId val="89388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388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[résultat_Tabou.xlsx]results_8_fusionné!Tableau croisé dynamique8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'results_8_fusionné'!$B$77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'results_8_fusionné'!$A$78:$A$83</c:f>
              <c:strCach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strCache>
            </c:strRef>
          </c:cat>
          <c:val>
            <c:numRef>
              <c:f>'results_8_fusionné'!$B$78:$B$83</c:f>
              <c:numCache>
                <c:formatCode>General</c:formatCode>
                <c:ptCount val="5"/>
                <c:pt idx="0">
                  <c:v>49401.3</c:v>
                </c:pt>
                <c:pt idx="1">
                  <c:v>49401.599999999999</c:v>
                </c:pt>
                <c:pt idx="2">
                  <c:v>49400.4</c:v>
                </c:pt>
                <c:pt idx="3">
                  <c:v>49402.5</c:v>
                </c:pt>
                <c:pt idx="4">
                  <c:v>49399.8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C-4A11-B696-E6184D665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3888511"/>
        <c:axId val="763242975"/>
      </c:barChart>
      <c:catAx>
        <c:axId val="89388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3242975"/>
        <c:crosses val="autoZero"/>
        <c:auto val="1"/>
        <c:lblAlgn val="ctr"/>
        <c:lblOffset val="100"/>
        <c:noMultiLvlLbl val="0"/>
      </c:catAx>
      <c:valAx>
        <c:axId val="76324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388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716280</xdr:colOff>
      <xdr:row>57</xdr:row>
      <xdr:rowOff>57150</xdr:rowOff>
    </xdr:from>
    <xdr:to>
      <xdr:col>7</xdr:col>
      <xdr:colOff>1333500</xdr:colOff>
      <xdr:row>72</xdr:row>
      <xdr:rowOff>57150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CBAA640-7BB4-953B-FECD-DDEB5577E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762000</xdr:colOff>
      <xdr:row>73</xdr:row>
      <xdr:rowOff>163830</xdr:rowOff>
    </xdr:from>
    <xdr:to>
      <xdr:col>7</xdr:col>
      <xdr:colOff>350520</xdr:colOff>
      <xdr:row>88</xdr:row>
      <xdr:rowOff>163830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69EF802-64CA-12C3-BFD4-F551A525E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1150620</xdr:colOff>
      <xdr:row>56</xdr:row>
      <xdr:rowOff>163830</xdr:rowOff>
    </xdr:from>
    <xdr:to>
      <xdr:col>7</xdr:col>
      <xdr:colOff>1684020</xdr:colOff>
      <xdr:row>71</xdr:row>
      <xdr:rowOff>163830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BB86763-84F3-FF3D-2C46-1AEFC3B92D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1158240</xdr:colOff>
      <xdr:row>75</xdr:row>
      <xdr:rowOff>148590</xdr:rowOff>
    </xdr:from>
    <xdr:to>
      <xdr:col>7</xdr:col>
      <xdr:colOff>723900</xdr:colOff>
      <xdr:row>90</xdr:row>
      <xdr:rowOff>148590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06C5C42-12EC-091F-03A8-BC3F1BD30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56</xdr:row>
      <xdr:rowOff>95250</xdr:rowOff>
    </xdr:from>
    <xdr:to>
      <xdr:col>7</xdr:col>
      <xdr:colOff>1318260</xdr:colOff>
      <xdr:row>71</xdr:row>
      <xdr:rowOff>95250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94ABF64-FAD8-BD78-FB6E-123FCE732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586740</xdr:colOff>
      <xdr:row>72</xdr:row>
      <xdr:rowOff>95250</xdr:rowOff>
    </xdr:from>
    <xdr:to>
      <xdr:col>7</xdr:col>
      <xdr:colOff>1325880</xdr:colOff>
      <xdr:row>87</xdr:row>
      <xdr:rowOff>95250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F967EE7-4E20-4AE4-CF46-450E4FEEB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57</xdr:row>
      <xdr:rowOff>125730</xdr:rowOff>
    </xdr:from>
    <xdr:to>
      <xdr:col>7</xdr:col>
      <xdr:colOff>1181100</xdr:colOff>
      <xdr:row>72</xdr:row>
      <xdr:rowOff>125730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56A5A8A-A57A-70DE-BC68-9A1166634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434340</xdr:colOff>
      <xdr:row>73</xdr:row>
      <xdr:rowOff>163830</xdr:rowOff>
    </xdr:from>
    <xdr:to>
      <xdr:col>7</xdr:col>
      <xdr:colOff>1173480</xdr:colOff>
      <xdr:row>88</xdr:row>
      <xdr:rowOff>163830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F1E0082-DDBF-9081-BC81-9163B1E4C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556260</xdr:colOff>
      <xdr:row>55</xdr:row>
      <xdr:rowOff>118110</xdr:rowOff>
    </xdr:from>
    <xdr:to>
      <xdr:col>7</xdr:col>
      <xdr:colOff>2095500</xdr:colOff>
      <xdr:row>70</xdr:row>
      <xdr:rowOff>118110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01DE226-2D6A-EFFA-538E-EB1AB76AD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525780</xdr:colOff>
      <xdr:row>72</xdr:row>
      <xdr:rowOff>118110</xdr:rowOff>
    </xdr:from>
    <xdr:to>
      <xdr:col>7</xdr:col>
      <xdr:colOff>2065020</xdr:colOff>
      <xdr:row>87</xdr:row>
      <xdr:rowOff>118110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4195E4D-13DC-1AD4-D042-6C525D7A45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662940</xdr:colOff>
      <xdr:row>58</xdr:row>
      <xdr:rowOff>118110</xdr:rowOff>
    </xdr:from>
    <xdr:to>
      <xdr:col>7</xdr:col>
      <xdr:colOff>2202180</xdr:colOff>
      <xdr:row>73</xdr:row>
      <xdr:rowOff>118110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73DDC78-FBBA-4116-B4A8-BF6B43761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662940</xdr:colOff>
      <xdr:row>74</xdr:row>
      <xdr:rowOff>95250</xdr:rowOff>
    </xdr:from>
    <xdr:to>
      <xdr:col>7</xdr:col>
      <xdr:colOff>2202180</xdr:colOff>
      <xdr:row>89</xdr:row>
      <xdr:rowOff>95250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DF5915A-0086-6D65-CBF8-267876D66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56</xdr:row>
      <xdr:rowOff>118110</xdr:rowOff>
    </xdr:from>
    <xdr:to>
      <xdr:col>7</xdr:col>
      <xdr:colOff>960120</xdr:colOff>
      <xdr:row>71</xdr:row>
      <xdr:rowOff>118110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A6CD376-F99D-0A78-9E7F-B1BCA9EAC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182880</xdr:colOff>
      <xdr:row>73</xdr:row>
      <xdr:rowOff>41910</xdr:rowOff>
    </xdr:from>
    <xdr:to>
      <xdr:col>7</xdr:col>
      <xdr:colOff>922020</xdr:colOff>
      <xdr:row>88</xdr:row>
      <xdr:rowOff>41910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B0F4251-E06D-EE0C-D30C-DD0E36CEF9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55</xdr:row>
      <xdr:rowOff>179070</xdr:rowOff>
    </xdr:from>
    <xdr:to>
      <xdr:col>7</xdr:col>
      <xdr:colOff>952500</xdr:colOff>
      <xdr:row>70</xdr:row>
      <xdr:rowOff>179070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2F8076D-E252-1B54-C003-A3D5CBB21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274320</xdr:colOff>
      <xdr:row>72</xdr:row>
      <xdr:rowOff>156210</xdr:rowOff>
    </xdr:from>
    <xdr:to>
      <xdr:col>7</xdr:col>
      <xdr:colOff>1013460</xdr:colOff>
      <xdr:row>87</xdr:row>
      <xdr:rowOff>156210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E33CE2E-039C-F46D-99C8-309389155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518160</xdr:colOff>
      <xdr:row>55</xdr:row>
      <xdr:rowOff>26670</xdr:rowOff>
    </xdr:from>
    <xdr:to>
      <xdr:col>7</xdr:col>
      <xdr:colOff>1409700</xdr:colOff>
      <xdr:row>70</xdr:row>
      <xdr:rowOff>26670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FF0D2D1-7636-8FA7-11B2-E6CC74114F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525780</xdr:colOff>
      <xdr:row>70</xdr:row>
      <xdr:rowOff>179070</xdr:rowOff>
    </xdr:from>
    <xdr:to>
      <xdr:col>7</xdr:col>
      <xdr:colOff>1264920</xdr:colOff>
      <xdr:row>85</xdr:row>
      <xdr:rowOff>179070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8A61ADB-918E-09CC-3B8C-E1F4974BD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i New" refreshedDate="45757.721717129629" createdVersion="8" refreshedVersion="8" minRefreshableVersion="3" recordCount="50" xr:uid="{A1507375-002B-4319-A1A2-482A1E8662A9}">
  <cacheSource type="worksheet">
    <worksheetSource name="results_0_fusionné"/>
  </cacheSource>
  <cacheFields count="9">
    <cacheField name="Nom de la base" numFmtId="0">
      <sharedItems/>
    </cacheField>
    <cacheField name="Nombre d'iteration" numFmtId="0">
      <sharedItems containsSemiMixedTypes="0" containsString="0" containsNumber="1" containsInteger="1" minValue="10" maxValue="1000000" count="10">
        <n v="10"/>
        <n v="100"/>
        <n v="500"/>
        <n v="1000"/>
        <n v="5000"/>
        <n v="10000"/>
        <n v="50000"/>
        <n v="100000"/>
        <n v="500000"/>
        <n v="1000000"/>
      </sharedItems>
    </cacheField>
    <cacheField name="Taille liste Tabou" numFmtId="0">
      <sharedItems containsSemiMixedTypes="0" containsString="0" containsNumber="1" containsInteger="1" minValue="1" maxValue="20" count="5">
        <n v="1"/>
        <n v="5"/>
        <n v="10"/>
        <n v="15"/>
        <n v="20"/>
      </sharedItems>
    </cacheField>
    <cacheField name="Poids MAx" numFmtId="0">
      <sharedItems containsSemiMixedTypes="0" containsString="0" containsNumber="1" containsInteger="1" minValue="970" maxValue="970"/>
    </cacheField>
    <cacheField name="Total weight" numFmtId="0">
      <sharedItems containsSemiMixedTypes="0" containsString="0" containsNumber="1" containsInteger="1" minValue="908" maxValue="970"/>
    </cacheField>
    <cacheField name="Total profit" numFmtId="0">
      <sharedItems containsSemiMixedTypes="0" containsString="0" containsNumber="1" containsInteger="1" minValue="728" maxValue="970"/>
    </cacheField>
    <cacheField name="Temps d'execution" numFmtId="0">
      <sharedItems/>
    </cacheField>
    <cacheField name="Fichier solution" numFmtId="0">
      <sharedItems/>
    </cacheField>
    <cacheField name="Itération/Tabou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i New" refreshedDate="45757.728618287038" createdVersion="8" refreshedVersion="8" minRefreshableVersion="3" recordCount="50" xr:uid="{BF179F71-6416-4833-941F-A869ADCF240E}">
  <cacheSource type="worksheet">
    <worksheetSource name="results_1_fusionné"/>
  </cacheSource>
  <cacheFields count="8">
    <cacheField name="Nom de la base" numFmtId="0">
      <sharedItems/>
    </cacheField>
    <cacheField name="Nombre d'iteration" numFmtId="0">
      <sharedItems containsSemiMixedTypes="0" containsString="0" containsNumber="1" containsInteger="1" minValue="10" maxValue="1000000" count="10">
        <n v="1000000"/>
        <n v="100000"/>
        <n v="10000"/>
        <n v="1000"/>
        <n v="100"/>
        <n v="10"/>
        <n v="500000"/>
        <n v="50000"/>
        <n v="5000"/>
        <n v="500"/>
      </sharedItems>
    </cacheField>
    <cacheField name="Taille liste Tabou" numFmtId="0">
      <sharedItems containsSemiMixedTypes="0" containsString="0" containsNumber="1" containsInteger="1" minValue="1" maxValue="20" count="5">
        <n v="1"/>
        <n v="10"/>
        <n v="15"/>
        <n v="20"/>
        <n v="5"/>
      </sharedItems>
    </cacheField>
    <cacheField name="Poids MAx" numFmtId="0">
      <sharedItems containsSemiMixedTypes="0" containsString="0" containsNumber="1" containsInteger="1" minValue="4556" maxValue="4556"/>
    </cacheField>
    <cacheField name="Total weight" numFmtId="0">
      <sharedItems containsSemiMixedTypes="0" containsString="0" containsNumber="1" containsInteger="1" minValue="4498" maxValue="4556"/>
    </cacheField>
    <cacheField name="Total profit" numFmtId="0">
      <sharedItems containsSemiMixedTypes="0" containsString="0" containsNumber="1" containsInteger="1" minValue="3778" maxValue="4514"/>
    </cacheField>
    <cacheField name="Temps d'execution" numFmtId="0">
      <sharedItems/>
    </cacheField>
    <cacheField name="Fichier solu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i New" refreshedDate="45757.733547685188" createdVersion="8" refreshedVersion="8" minRefreshableVersion="3" recordCount="50" xr:uid="{D883A6D5-E639-4188-8C24-E188EAC30973}">
  <cacheSource type="worksheet">
    <worksheetSource name="results_2_fusionné"/>
  </cacheSource>
  <cacheFields count="8">
    <cacheField name="Nom de la base" numFmtId="0">
      <sharedItems/>
    </cacheField>
    <cacheField name="Nombre d'iteration" numFmtId="0">
      <sharedItems containsSemiMixedTypes="0" containsString="0" containsNumber="1" containsInteger="1" minValue="10" maxValue="1000000" count="10">
        <n v="10"/>
        <n v="100"/>
        <n v="500"/>
        <n v="1000"/>
        <n v="5000"/>
        <n v="10000"/>
        <n v="50000"/>
        <n v="100000"/>
        <n v="500000"/>
        <n v="1000000"/>
      </sharedItems>
    </cacheField>
    <cacheField name="Taille liste Tabou" numFmtId="0">
      <sharedItems containsSemiMixedTypes="0" containsString="0" containsNumber="1" containsInteger="1" minValue="1" maxValue="20" count="5">
        <n v="1"/>
        <n v="5"/>
        <n v="10"/>
        <n v="15"/>
        <n v="20"/>
      </sharedItems>
    </cacheField>
    <cacheField name="Poids MAx" numFmtId="0">
      <sharedItems containsSemiMixedTypes="0" containsString="0" containsNumber="1" containsInteger="1" minValue="45132" maxValue="45132"/>
    </cacheField>
    <cacheField name="Total weight" numFmtId="0">
      <sharedItems containsSemiMixedTypes="0" containsString="0" containsNumber="1" containsInteger="1" minValue="45102" maxValue="45132"/>
    </cacheField>
    <cacheField name="Total profit" numFmtId="0">
      <sharedItems containsSemiMixedTypes="0" containsString="0" containsNumber="1" containsInteger="1" minValue="40371" maxValue="42389"/>
    </cacheField>
    <cacheField name="Temps d'execution" numFmtId="0">
      <sharedItems/>
    </cacheField>
    <cacheField name="Fichier solu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i New" refreshedDate="45757.742165625001" createdVersion="8" refreshedVersion="8" minRefreshableVersion="3" recordCount="50" xr:uid="{AD603826-27F5-46A2-8310-80C9DD8BDAA3}">
  <cacheSource type="worksheet">
    <worksheetSource name="results_3_fusionné"/>
  </cacheSource>
  <cacheFields count="8">
    <cacheField name="Nom de la base" numFmtId="0">
      <sharedItems/>
    </cacheField>
    <cacheField name="Nombre d'iteration" numFmtId="0">
      <sharedItems containsSemiMixedTypes="0" containsString="0" containsNumber="1" containsInteger="1" minValue="10" maxValue="1000000" count="10">
        <n v="1000000"/>
        <n v="100000"/>
        <n v="10000"/>
        <n v="1000"/>
        <n v="100"/>
        <n v="10"/>
        <n v="500000"/>
        <n v="50000"/>
        <n v="5000"/>
        <n v="500"/>
      </sharedItems>
    </cacheField>
    <cacheField name="Taille liste Tabou" numFmtId="0">
      <sharedItems containsSemiMixedTypes="0" containsString="0" containsNumber="1" containsInteger="1" minValue="1" maxValue="20" count="5">
        <n v="1"/>
        <n v="10"/>
        <n v="15"/>
        <n v="20"/>
        <n v="5"/>
      </sharedItems>
    </cacheField>
    <cacheField name="Poids MAx" numFmtId="0">
      <sharedItems containsSemiMixedTypes="0" containsString="0" containsNumber="1" containsInteger="1" minValue="970" maxValue="970"/>
    </cacheField>
    <cacheField name="Total weight" numFmtId="0">
      <sharedItems containsSemiMixedTypes="0" containsString="0" containsNumber="1" containsInteger="1" minValue="954" maxValue="970"/>
    </cacheField>
    <cacheField name="Total profit" numFmtId="0">
      <sharedItems containsSemiMixedTypes="0" containsString="0" containsNumber="1" containsInteger="1" minValue="1170" maxValue="1989"/>
    </cacheField>
    <cacheField name="Temps d'execution" numFmtId="0">
      <sharedItems/>
    </cacheField>
    <cacheField name="Fichier solu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i New" refreshedDate="45757.745811689812" createdVersion="8" refreshedVersion="8" minRefreshableVersion="3" recordCount="50" xr:uid="{4CF7D5DB-FBD3-4991-AE53-30F31ADB5354}">
  <cacheSource type="worksheet">
    <worksheetSource name="results_4_fusionné"/>
  </cacheSource>
  <cacheFields count="8">
    <cacheField name="Nom de la base" numFmtId="0">
      <sharedItems/>
    </cacheField>
    <cacheField name="Nombre d'iteration" numFmtId="0">
      <sharedItems containsSemiMixedTypes="0" containsString="0" containsNumber="1" containsInteger="1" minValue="10" maxValue="1000000" count="10">
        <n v="1000000"/>
        <n v="100000"/>
        <n v="10000"/>
        <n v="1000"/>
        <n v="100"/>
        <n v="10"/>
        <n v="500000"/>
        <n v="50000"/>
        <n v="5000"/>
        <n v="500"/>
      </sharedItems>
    </cacheField>
    <cacheField name="Taille liste Tabou" numFmtId="0">
      <sharedItems containsSemiMixedTypes="0" containsString="0" containsNumber="1" containsInteger="1" minValue="1" maxValue="20" count="5">
        <n v="1"/>
        <n v="10"/>
        <n v="15"/>
        <n v="20"/>
        <n v="5"/>
      </sharedItems>
    </cacheField>
    <cacheField name="Poids MAx" numFmtId="0">
      <sharedItems containsSemiMixedTypes="0" containsString="0" containsNumber="1" containsInteger="1" minValue="3177" maxValue="3177"/>
    </cacheField>
    <cacheField name="Total weight" numFmtId="0">
      <sharedItems containsSemiMixedTypes="0" containsString="0" containsNumber="1" containsInteger="1" minValue="3160" maxValue="3177"/>
    </cacheField>
    <cacheField name="Total profit" numFmtId="0">
      <sharedItems containsSemiMixedTypes="0" containsString="0" containsNumber="1" containsInteger="1" minValue="4056" maxValue="5187"/>
    </cacheField>
    <cacheField name="Temps d'execution" numFmtId="0">
      <sharedItems/>
    </cacheField>
    <cacheField name="Fichier solu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i New" refreshedDate="45757.748903240739" createdVersion="8" refreshedVersion="8" minRefreshableVersion="3" recordCount="50" xr:uid="{DC947AAC-66C7-4A2C-B50E-C8B6F130FB71}">
  <cacheSource type="worksheet">
    <worksheetSource name="results_5_fusionné"/>
  </cacheSource>
  <cacheFields count="8">
    <cacheField name="Nom de la base" numFmtId="0">
      <sharedItems/>
    </cacheField>
    <cacheField name="Nombre d'iteration" numFmtId="0">
      <sharedItems containsSemiMixedTypes="0" containsString="0" containsNumber="1" containsInteger="1" minValue="10" maxValue="1000000" count="10">
        <n v="1000000"/>
        <n v="100000"/>
        <n v="10000"/>
        <n v="1000"/>
        <n v="100"/>
        <n v="10"/>
        <n v="500000"/>
        <n v="50000"/>
        <n v="5000"/>
        <n v="500"/>
      </sharedItems>
    </cacheField>
    <cacheField name="Taille liste Tabou" numFmtId="0">
      <sharedItems containsSemiMixedTypes="0" containsString="0" containsNumber="1" containsInteger="1" minValue="1" maxValue="20" count="5">
        <n v="1"/>
        <n v="10"/>
        <n v="15"/>
        <n v="20"/>
        <n v="5"/>
      </sharedItems>
    </cacheField>
    <cacheField name="Poids MAx" numFmtId="0">
      <sharedItems containsSemiMixedTypes="0" containsString="0" containsNumber="1" containsInteger="1" minValue="31234" maxValue="31234"/>
    </cacheField>
    <cacheField name="Total weight" numFmtId="0">
      <sharedItems containsSemiMixedTypes="0" containsString="0" containsNumber="1" containsInteger="1" minValue="31217" maxValue="31234"/>
    </cacheField>
    <cacheField name="Total profit" numFmtId="0">
      <sharedItems containsSemiMixedTypes="0" containsString="0" containsNumber="1" containsInteger="1" minValue="40521" maxValue="43719"/>
    </cacheField>
    <cacheField name="Temps d'execution" numFmtId="0">
      <sharedItems/>
    </cacheField>
    <cacheField name="Fichier solu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i New" refreshedDate="45757.815277083333" createdVersion="8" refreshedVersion="8" minRefreshableVersion="3" recordCount="50" xr:uid="{7CA2409C-0512-40F1-8313-A8757833E2B2}">
  <cacheSource type="worksheet">
    <worksheetSource name="results_6_fusionné"/>
  </cacheSource>
  <cacheFields count="8">
    <cacheField name="Nom de la base" numFmtId="0">
      <sharedItems/>
    </cacheField>
    <cacheField name="Nombre d'iteration" numFmtId="0">
      <sharedItems containsSemiMixedTypes="0" containsString="0" containsNumber="1" containsInteger="1" minValue="10" maxValue="1000000" count="10">
        <n v="1000000"/>
        <n v="100000"/>
        <n v="10000"/>
        <n v="1000"/>
        <n v="100"/>
        <n v="10"/>
        <n v="500000"/>
        <n v="50000"/>
        <n v="5000"/>
        <n v="500"/>
      </sharedItems>
    </cacheField>
    <cacheField name="Taille liste Tabou" numFmtId="0">
      <sharedItems containsSemiMixedTypes="0" containsString="0" containsNumber="1" containsInteger="1" minValue="1" maxValue="20" count="5">
        <n v="1"/>
        <n v="10"/>
        <n v="15"/>
        <n v="20"/>
        <n v="5"/>
      </sharedItems>
    </cacheField>
    <cacheField name="Poids MAx" numFmtId="0">
      <sharedItems containsSemiMixedTypes="0" containsString="0" containsNumber="1" containsInteger="1" minValue="997" maxValue="997"/>
    </cacheField>
    <cacheField name="Total weight" numFmtId="0">
      <sharedItems containsSemiMixedTypes="0" containsString="0" containsNumber="1" containsInteger="1" minValue="990" maxValue="997"/>
    </cacheField>
    <cacheField name="Total profit" numFmtId="0">
      <sharedItems containsSemiMixedTypes="0" containsString="0" containsNumber="1" containsInteger="1" minValue="993" maxValue="1005"/>
    </cacheField>
    <cacheField name="Temps d'execution" numFmtId="0">
      <sharedItems/>
    </cacheField>
    <cacheField name="Fichier solu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i New" refreshedDate="45757.861359259259" createdVersion="8" refreshedVersion="8" minRefreshableVersion="3" recordCount="50" xr:uid="{E9D1D251-3326-49EA-9353-5558E43C4512}">
  <cacheSource type="worksheet">
    <worksheetSource name="results_7_fusionné"/>
  </cacheSource>
  <cacheFields count="9">
    <cacheField name="Nom de la base" numFmtId="0">
      <sharedItems/>
    </cacheField>
    <cacheField name="Nombre d'iteration" numFmtId="0">
      <sharedItems containsSemiMixedTypes="0" containsString="0" containsNumber="1" containsInteger="1" minValue="10" maxValue="1000000" count="10">
        <n v="1000000"/>
        <n v="100000"/>
        <n v="10000"/>
        <n v="1000"/>
        <n v="100"/>
        <n v="10"/>
        <n v="500000"/>
        <n v="50000"/>
        <n v="5000"/>
        <n v="500"/>
      </sharedItems>
    </cacheField>
    <cacheField name="Taille liste Tabou" numFmtId="0">
      <sharedItems containsSemiMixedTypes="0" containsString="0" containsNumber="1" containsInteger="1" minValue="1" maxValue="20" count="5">
        <n v="1"/>
        <n v="10"/>
        <n v="15"/>
        <n v="20"/>
        <n v="5"/>
      </sharedItems>
    </cacheField>
    <cacheField name="Poids MAx" numFmtId="0">
      <sharedItems containsSemiMixedTypes="0" containsString="0" containsNumber="1" containsInteger="1" minValue="4816" maxValue="4816"/>
    </cacheField>
    <cacheField name="Total weight" numFmtId="0">
      <sharedItems containsSemiMixedTypes="0" containsString="0" containsNumber="1" containsInteger="1" minValue="4815" maxValue="4816"/>
    </cacheField>
    <cacheField name="Total profit" numFmtId="0">
      <sharedItems containsSemiMixedTypes="0" containsString="0" containsNumber="1" containsInteger="1" minValue="4821" maxValue="4839"/>
    </cacheField>
    <cacheField name="Temps d'execution" numFmtId="0">
      <sharedItems/>
    </cacheField>
    <cacheField name="Fichier solution" numFmtId="0">
      <sharedItems/>
    </cacheField>
    <cacheField name="tps_nb" numFmtId="0">
      <sharedItems containsSemiMixedTypes="0" containsString="0" containsNumber="1" minValue="1.9979476928710001E-3" maxValue="544.386298894881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i New" refreshedDate="45757.865588773151" createdVersion="8" refreshedVersion="8" minRefreshableVersion="3" recordCount="50" xr:uid="{A8DE193C-84E6-4F03-94B3-FA31CE3C296A}">
  <cacheSource type="worksheet">
    <worksheetSource name="results_8_fusionné"/>
  </cacheSource>
  <cacheFields count="9">
    <cacheField name="Nom de la base" numFmtId="0">
      <sharedItems/>
    </cacheField>
    <cacheField name="Nombre d'iteration" numFmtId="0">
      <sharedItems containsSemiMixedTypes="0" containsString="0" containsNumber="1" containsInteger="1" minValue="10" maxValue="1000000" count="10">
        <n v="1000000"/>
        <n v="100000"/>
        <n v="10000"/>
        <n v="1000"/>
        <n v="100"/>
        <n v="10"/>
        <n v="500000"/>
        <n v="50000"/>
        <n v="5000"/>
        <n v="500"/>
      </sharedItems>
    </cacheField>
    <cacheField name="Taille liste Tabou" numFmtId="0">
      <sharedItems containsSemiMixedTypes="0" containsString="0" containsNumber="1" containsInteger="1" minValue="1" maxValue="20" count="5">
        <n v="1"/>
        <n v="10"/>
        <n v="15"/>
        <n v="20"/>
        <n v="5"/>
      </sharedItems>
    </cacheField>
    <cacheField name="Poids MAx" numFmtId="0">
      <sharedItems containsSemiMixedTypes="0" containsString="0" containsNumber="1" containsInteger="1" minValue="49297" maxValue="49297"/>
    </cacheField>
    <cacheField name="Total weight" numFmtId="0">
      <sharedItems containsSemiMixedTypes="0" containsString="0" containsNumber="1" containsInteger="1" minValue="49297" maxValue="49297"/>
    </cacheField>
    <cacheField name="Total profit" numFmtId="0">
      <sharedItems containsSemiMixedTypes="0" containsString="0" containsNumber="1" containsInteger="1" minValue="49374" maxValue="49425"/>
    </cacheField>
    <cacheField name="Temps d'execution" numFmtId="0">
      <sharedItems/>
    </cacheField>
    <cacheField name="Fichier solution" numFmtId="0">
      <sharedItems/>
    </cacheField>
    <cacheField name="tps_nb" numFmtId="0">
      <sharedItems containsSemiMixedTypes="0" containsString="0" containsNumber="1" minValue="4.9539327621459898E-2" maxValue="5158.79295396803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pi-12-100-1000-001.kna"/>
    <x v="0"/>
    <x v="0"/>
    <n v="970"/>
    <n v="970"/>
    <n v="970"/>
    <s v="0.0009558200836181"/>
    <s v="results/0/item_solutions/pi-12-100-1000-001.kna_10_1_items.csv"/>
    <s v="10;1"/>
  </r>
  <r>
    <s v="pi-12-100-1000-001.kna"/>
    <x v="0"/>
    <x v="1"/>
    <n v="970"/>
    <n v="970"/>
    <n v="970"/>
    <s v="0.0"/>
    <s v="results/0/item_solutions/pi-12-100-1000-001.kna_10_5_items.csv"/>
    <s v="10;5"/>
  </r>
  <r>
    <s v="pi-12-100-1000-001.kna"/>
    <x v="0"/>
    <x v="2"/>
    <n v="970"/>
    <n v="908"/>
    <n v="880"/>
    <s v="0.0010323524475097"/>
    <s v="results/0/item_solutions/pi-12-100-1000-001.kna_10_10_items.csv"/>
    <s v="10;10"/>
  </r>
  <r>
    <s v="pi-12-100-1000-001.kna"/>
    <x v="0"/>
    <x v="3"/>
    <n v="970"/>
    <n v="970"/>
    <n v="970"/>
    <s v="0.0"/>
    <s v="results/0/item_solutions/pi-12-100-1000-001.kna_10_15_items.csv"/>
    <s v="10;15"/>
  </r>
  <r>
    <s v="pi-12-100-1000-001.kna"/>
    <x v="0"/>
    <x v="4"/>
    <n v="970"/>
    <n v="970"/>
    <n v="970"/>
    <s v="0.0"/>
    <s v="results/0/item_solutions/pi-12-100-1000-001.kna_10_20_items.csv"/>
    <s v="10;20"/>
  </r>
  <r>
    <s v="pi-12-100-1000-001.kna"/>
    <x v="1"/>
    <x v="0"/>
    <n v="970"/>
    <n v="951"/>
    <n v="811"/>
    <s v="0.0022315979003906"/>
    <s v="results/0/item_solutions/pi-12-100-1000-001.kna_100_1_items.csv"/>
    <s v="100;1"/>
  </r>
  <r>
    <s v="pi-12-100-1000-001.kna"/>
    <x v="1"/>
    <x v="1"/>
    <n v="970"/>
    <n v="970"/>
    <n v="970"/>
    <s v="0.0031309127807617"/>
    <s v="results/0/item_solutions/pi-12-100-1000-001.kna_100_5_items.csv"/>
    <s v="100;5"/>
  </r>
  <r>
    <s v="pi-12-100-1000-001.kna"/>
    <x v="1"/>
    <x v="2"/>
    <n v="970"/>
    <n v="970"/>
    <n v="970"/>
    <s v="0.0011491775512695"/>
    <s v="results/0/item_solutions/pi-12-100-1000-001.kna_100_10_items.csv"/>
    <s v="100;10"/>
  </r>
  <r>
    <s v="pi-12-100-1000-001.kna"/>
    <x v="1"/>
    <x v="3"/>
    <n v="970"/>
    <n v="943"/>
    <n v="887"/>
    <s v="0.0019998550415039"/>
    <s v="results/0/item_solutions/pi-12-100-1000-001.kna_100_15_items.csv"/>
    <s v="100;15"/>
  </r>
  <r>
    <s v="pi-12-100-1000-001.kna"/>
    <x v="1"/>
    <x v="4"/>
    <n v="970"/>
    <n v="970"/>
    <n v="970"/>
    <s v="0.0"/>
    <s v="results/0/item_solutions/pi-12-100-1000-001.kna_100_20_items.csv"/>
    <s v="100;20"/>
  </r>
  <r>
    <s v="pi-12-100-1000-001.kna"/>
    <x v="2"/>
    <x v="0"/>
    <n v="970"/>
    <n v="924"/>
    <n v="728"/>
    <s v="0.0120303630828857"/>
    <s v="results/0/item_solutions/pi-12-100-1000-001.kna_500_1_items.csv"/>
    <s v="500;1"/>
  </r>
  <r>
    <s v="pi-12-100-1000-001.kna"/>
    <x v="2"/>
    <x v="1"/>
    <n v="970"/>
    <n v="970"/>
    <n v="970"/>
    <s v="0.0"/>
    <s v="results/0/item_solutions/pi-12-100-1000-001.kna_500_5_items.csv"/>
    <s v="500;5"/>
  </r>
  <r>
    <s v="pi-12-100-1000-001.kna"/>
    <x v="2"/>
    <x v="2"/>
    <n v="970"/>
    <n v="970"/>
    <n v="970"/>
    <s v="0.0"/>
    <s v="results/0/item_solutions/pi-12-100-1000-001.kna_500_10_items.csv"/>
    <s v="500;10"/>
  </r>
  <r>
    <s v="pi-12-100-1000-001.kna"/>
    <x v="2"/>
    <x v="3"/>
    <n v="970"/>
    <n v="970"/>
    <n v="970"/>
    <s v="0.0"/>
    <s v="results/0/item_solutions/pi-12-100-1000-001.kna_500_15_items.csv"/>
    <s v="500;15"/>
  </r>
  <r>
    <s v="pi-12-100-1000-001.kna"/>
    <x v="2"/>
    <x v="4"/>
    <n v="970"/>
    <n v="970"/>
    <n v="970"/>
    <s v="0.0011489391326904"/>
    <s v="results/0/item_solutions/pi-12-100-1000-001.kna_500_20_items.csv"/>
    <s v="500;20"/>
  </r>
  <r>
    <s v="pi-12-100-1000-001.kna"/>
    <x v="3"/>
    <x v="0"/>
    <n v="970"/>
    <n v="970"/>
    <n v="970"/>
    <s v="0.0283210277557373"/>
    <s v="results/0/item_solutions/pi-12-100-1000-001.kna_1000_1_items.csv"/>
    <s v="1000;1"/>
  </r>
  <r>
    <s v="pi-12-100-1000-001.kna"/>
    <x v="3"/>
    <x v="1"/>
    <n v="970"/>
    <n v="970"/>
    <n v="970"/>
    <s v="0.0009987354278564"/>
    <s v="results/0/item_solutions/pi-12-100-1000-001.kna_1000_5_items.csv"/>
    <s v="1000;5"/>
  </r>
  <r>
    <s v="pi-12-100-1000-001.kna"/>
    <x v="3"/>
    <x v="2"/>
    <n v="970"/>
    <n v="970"/>
    <n v="970"/>
    <s v="0.0"/>
    <s v="results/0/item_solutions/pi-12-100-1000-001.kna_1000_10_items.csv"/>
    <s v="1000;10"/>
  </r>
  <r>
    <s v="pi-12-100-1000-001.kna"/>
    <x v="3"/>
    <x v="3"/>
    <n v="970"/>
    <n v="970"/>
    <n v="970"/>
    <s v="0.0"/>
    <s v="results/0/item_solutions/pi-12-100-1000-001.kna_1000_15_items.csv"/>
    <s v="1000;15"/>
  </r>
  <r>
    <s v="pi-12-100-1000-001.kna"/>
    <x v="3"/>
    <x v="4"/>
    <n v="970"/>
    <n v="970"/>
    <n v="970"/>
    <s v="0.0"/>
    <s v="results/0/item_solutions/pi-12-100-1000-001.kna_1000_20_items.csv"/>
    <s v="1000;20"/>
  </r>
  <r>
    <s v="pi-12-100-1000-001.kna"/>
    <x v="4"/>
    <x v="0"/>
    <n v="970"/>
    <n v="970"/>
    <n v="970"/>
    <s v="0.1142897605895996"/>
    <s v="results/0/item_solutions/pi-12-100-1000-001.kna_5000_1_items.csv"/>
    <s v="5000;1"/>
  </r>
  <r>
    <s v="pi-12-100-1000-001.kna"/>
    <x v="4"/>
    <x v="1"/>
    <n v="970"/>
    <n v="970"/>
    <n v="970"/>
    <s v="0.1315326690673828"/>
    <s v="results/0/item_solutions/pi-12-100-1000-001.kna_5000_5_items.csv"/>
    <s v="5000;5"/>
  </r>
  <r>
    <s v="pi-12-100-1000-001.kna"/>
    <x v="4"/>
    <x v="2"/>
    <n v="970"/>
    <n v="970"/>
    <n v="970"/>
    <s v="0.0010011196136474"/>
    <s v="results/0/item_solutions/pi-12-100-1000-001.kna_5000_10_items.csv"/>
    <s v="5000;10"/>
  </r>
  <r>
    <s v="pi-12-100-1000-001.kna"/>
    <x v="4"/>
    <x v="3"/>
    <n v="970"/>
    <n v="970"/>
    <n v="970"/>
    <s v="0.0"/>
    <s v="results/0/item_solutions/pi-12-100-1000-001.kna_5000_15_items.csv"/>
    <s v="5000;15"/>
  </r>
  <r>
    <s v="pi-12-100-1000-001.kna"/>
    <x v="4"/>
    <x v="4"/>
    <n v="970"/>
    <n v="970"/>
    <n v="970"/>
    <s v="0.0010344982147216"/>
    <s v="results/0/item_solutions/pi-12-100-1000-001.kna_5000_20_items.csv"/>
    <s v="5000;20"/>
  </r>
  <r>
    <s v="pi-12-100-1000-001.kna"/>
    <x v="5"/>
    <x v="0"/>
    <n v="970"/>
    <n v="970"/>
    <n v="970"/>
    <s v="0.2835476398468017"/>
    <s v="results/0/item_solutions/pi-12-100-1000-001.kna_10000_1_items.csv"/>
    <s v="10000;1"/>
  </r>
  <r>
    <s v="pi-12-100-1000-001.kna"/>
    <x v="5"/>
    <x v="1"/>
    <n v="970"/>
    <n v="970"/>
    <n v="970"/>
    <s v="0.0"/>
    <s v="results/0/item_solutions/pi-12-100-1000-001.kna_10000_5_items.csv"/>
    <s v="10000;5"/>
  </r>
  <r>
    <s v="pi-12-100-1000-001.kna"/>
    <x v="5"/>
    <x v="2"/>
    <n v="970"/>
    <n v="970"/>
    <n v="970"/>
    <s v="0.0"/>
    <s v="results/0/item_solutions/pi-12-100-1000-001.kna_10000_10_items.csv"/>
    <s v="10000;10"/>
  </r>
  <r>
    <s v="pi-12-100-1000-001.kna"/>
    <x v="5"/>
    <x v="3"/>
    <n v="970"/>
    <n v="970"/>
    <n v="970"/>
    <s v="0.0"/>
    <s v="results/0/item_solutions/pi-12-100-1000-001.kna_10000_15_items.csv"/>
    <s v="10000;15"/>
  </r>
  <r>
    <s v="pi-12-100-1000-001.kna"/>
    <x v="5"/>
    <x v="4"/>
    <n v="970"/>
    <n v="970"/>
    <n v="970"/>
    <s v="0.0010008811950683"/>
    <s v="results/0/item_solutions/pi-12-100-1000-001.kna_10000_20_items.csv"/>
    <s v="10000;20"/>
  </r>
  <r>
    <s v="pi-12-100-1000-001.kna"/>
    <x v="6"/>
    <x v="0"/>
    <n v="970"/>
    <n v="970"/>
    <n v="970"/>
    <s v="1.217318773269653"/>
    <s v="results/0/item_solutions/pi-12-100-1000-001.kna_50000_1_items.csv"/>
    <s v="50000;1"/>
  </r>
  <r>
    <s v="pi-12-100-1000-001.kna"/>
    <x v="6"/>
    <x v="1"/>
    <n v="970"/>
    <n v="970"/>
    <n v="970"/>
    <s v="1.3218932151794434"/>
    <s v="results/0/item_solutions/pi-12-100-1000-001.kna_50000_5_items.csv"/>
    <s v="50000;5"/>
  </r>
  <r>
    <s v="pi-12-100-1000-001.kna"/>
    <x v="6"/>
    <x v="2"/>
    <n v="970"/>
    <n v="970"/>
    <n v="970"/>
    <s v="0.0009922981262207"/>
    <s v="results/0/item_solutions/pi-12-100-1000-001.kna_50000_10_items.csv"/>
    <s v="50000;10"/>
  </r>
  <r>
    <s v="pi-12-100-1000-001.kna"/>
    <x v="6"/>
    <x v="3"/>
    <n v="970"/>
    <n v="970"/>
    <n v="970"/>
    <s v="1.2478508949279783"/>
    <s v="results/0/item_solutions/pi-12-100-1000-001.kna_50000_15_items.csv"/>
    <s v="50000;15"/>
  </r>
  <r>
    <s v="pi-12-100-1000-001.kna"/>
    <x v="6"/>
    <x v="4"/>
    <n v="970"/>
    <n v="970"/>
    <n v="970"/>
    <s v="0.0"/>
    <s v="results/0/item_solutions/pi-12-100-1000-001.kna_50000_20_items.csv"/>
    <s v="50000;20"/>
  </r>
  <r>
    <s v="pi-12-100-1000-001.kna"/>
    <x v="7"/>
    <x v="0"/>
    <n v="970"/>
    <n v="970"/>
    <n v="970"/>
    <s v="2.134636402130127"/>
    <s v="results/0/item_solutions/pi-12-100-1000-001.kna_100000_1_items.csv"/>
    <s v="100000;1"/>
  </r>
  <r>
    <s v="pi-12-100-1000-001.kna"/>
    <x v="7"/>
    <x v="1"/>
    <n v="970"/>
    <n v="970"/>
    <n v="970"/>
    <s v="0.0"/>
    <s v="results/0/item_solutions/pi-12-100-1000-001.kna_100000_5_items.csv"/>
    <s v="100000;5"/>
  </r>
  <r>
    <s v="pi-12-100-1000-001.kna"/>
    <x v="7"/>
    <x v="2"/>
    <n v="970"/>
    <n v="970"/>
    <n v="970"/>
    <s v="0.0"/>
    <s v="results/0/item_solutions/pi-12-100-1000-001.kna_100000_10_items.csv"/>
    <s v="100000;10"/>
  </r>
  <r>
    <s v="pi-12-100-1000-001.kna"/>
    <x v="7"/>
    <x v="3"/>
    <n v="970"/>
    <n v="970"/>
    <n v="970"/>
    <s v="0.0"/>
    <s v="results/0/item_solutions/pi-12-100-1000-001.kna_100000_15_items.csv"/>
    <s v="100000;15"/>
  </r>
  <r>
    <s v="pi-12-100-1000-001.kna"/>
    <x v="7"/>
    <x v="4"/>
    <n v="970"/>
    <n v="970"/>
    <n v="970"/>
    <s v="0.0"/>
    <s v="results/0/item_solutions/pi-12-100-1000-001.kna_100000_20_items.csv"/>
    <s v="100000;20"/>
  </r>
  <r>
    <s v="pi-12-100-1000-001.kna"/>
    <x v="8"/>
    <x v="0"/>
    <n v="970"/>
    <n v="970"/>
    <n v="970"/>
    <s v="10.506259441375732"/>
    <s v="results/0/item_solutions/pi-12-100-1000-001.kna_500000_1_items.csv"/>
    <s v="500000;1"/>
  </r>
  <r>
    <s v="pi-12-100-1000-001.kna"/>
    <x v="8"/>
    <x v="1"/>
    <n v="970"/>
    <n v="970"/>
    <n v="970"/>
    <s v="0.0"/>
    <s v="results/0/item_solutions/pi-12-100-1000-001.kna_500000_5_items.csv"/>
    <s v="500000;5"/>
  </r>
  <r>
    <s v="pi-12-100-1000-001.kna"/>
    <x v="8"/>
    <x v="2"/>
    <n v="970"/>
    <n v="970"/>
    <n v="970"/>
    <s v="0.0011522769927978"/>
    <s v="results/0/item_solutions/pi-12-100-1000-001.kna_500000_10_items.csv"/>
    <s v="500000;10"/>
  </r>
  <r>
    <s v="pi-12-100-1000-001.kna"/>
    <x v="8"/>
    <x v="3"/>
    <n v="970"/>
    <n v="970"/>
    <n v="970"/>
    <s v="0.0009963512420654"/>
    <s v="results/0/item_solutions/pi-12-100-1000-001.kna_500000_15_items.csv"/>
    <s v="500000;15"/>
  </r>
  <r>
    <s v="pi-12-100-1000-001.kna"/>
    <x v="8"/>
    <x v="4"/>
    <n v="970"/>
    <n v="970"/>
    <n v="970"/>
    <s v="0.001136302947998"/>
    <s v="results/0/item_solutions/pi-12-100-1000-001.kna_500000_20_items.csv"/>
    <s v="500000;20"/>
  </r>
  <r>
    <s v="pi-12-100-1000-001.kna"/>
    <x v="9"/>
    <x v="0"/>
    <n v="970"/>
    <n v="970"/>
    <n v="970"/>
    <s v="24.819896936416622"/>
    <s v="results/0/item_solutions/pi-12-100-1000-001.kna_1000000_1_items.csv"/>
    <s v="1000000;1"/>
  </r>
  <r>
    <s v="pi-12-100-1000-001.kna"/>
    <x v="9"/>
    <x v="1"/>
    <n v="970"/>
    <n v="970"/>
    <n v="970"/>
    <s v="0.0010020732879638"/>
    <s v="results/0/item_solutions/pi-12-100-1000-001.kna_1000000_5_items.csv"/>
    <s v="1000000;5"/>
  </r>
  <r>
    <s v="pi-12-100-1000-001.kna"/>
    <x v="9"/>
    <x v="2"/>
    <n v="970"/>
    <n v="970"/>
    <n v="970"/>
    <s v="0.001002550125122"/>
    <s v="results/0/item_solutions/pi-12-100-1000-001.kna_1000000_10_items.csv"/>
    <s v="1000000;10"/>
  </r>
  <r>
    <s v="pi-12-100-1000-001.kna"/>
    <x v="9"/>
    <x v="3"/>
    <n v="970"/>
    <n v="970"/>
    <n v="970"/>
    <s v="0.0011265277862548"/>
    <s v="results/0/item_solutions/pi-12-100-1000-001.kna_1000000_15_items.csv"/>
    <s v="1000000;15"/>
  </r>
  <r>
    <s v="pi-12-100-1000-001.kna"/>
    <x v="9"/>
    <x v="4"/>
    <n v="970"/>
    <n v="970"/>
    <n v="970"/>
    <s v="0.0"/>
    <s v="results/0/item_solutions/pi-12-100-1000-001.kna_1000000_20_items.csv"/>
    <s v="1000000;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pi-12-1000-1000-001.kna"/>
    <x v="0"/>
    <x v="0"/>
    <n v="4556"/>
    <n v="4528"/>
    <n v="4514"/>
    <s v="216.3263657093048"/>
    <s v="results/1/item_solutions/pi-12-1000-1000-001.kna_1000000_1_items.csv"/>
  </r>
  <r>
    <s v="pi-12-1000-1000-001.kna"/>
    <x v="0"/>
    <x v="1"/>
    <n v="4556"/>
    <n v="4540"/>
    <n v="4400"/>
    <s v="254.4064004421234"/>
    <s v="results/1/item_solutions/pi-12-1000-1000-001.kna_1000000_10_items.csv"/>
  </r>
  <r>
    <s v="pi-12-1000-1000-001.kna"/>
    <x v="0"/>
    <x v="2"/>
    <n v="4556"/>
    <n v="4556"/>
    <n v="4248"/>
    <s v="242.8019766807556"/>
    <s v="results/1/item_solutions/pi-12-1000-1000-001.kna_1000000_15_items.csv"/>
  </r>
  <r>
    <s v="pi-12-1000-1000-001.kna"/>
    <x v="0"/>
    <x v="3"/>
    <n v="4556"/>
    <n v="4540"/>
    <n v="4400"/>
    <s v="236.18393969535828"/>
    <s v="results/1/item_solutions/pi-12-1000-1000-001.kna_1000000_20_items.csv"/>
  </r>
  <r>
    <s v="pi-12-1000-1000-001.kna"/>
    <x v="0"/>
    <x v="4"/>
    <n v="4556"/>
    <n v="4549"/>
    <n v="3975"/>
    <s v="250.4021577835083"/>
    <s v="results/1/item_solutions/pi-12-1000-1000-001.kna_1000000_5_items.csv"/>
  </r>
  <r>
    <s v="pi-12-1000-1000-001.kna"/>
    <x v="1"/>
    <x v="0"/>
    <n v="4556"/>
    <n v="4530"/>
    <n v="3816"/>
    <s v="21.29549813270569"/>
    <s v="results/1/item_solutions/pi-12-1000-1000-001.kna_100000_1_items.csv"/>
  </r>
  <r>
    <s v="pi-12-1000-1000-001.kna"/>
    <x v="1"/>
    <x v="1"/>
    <n v="4556"/>
    <n v="4513"/>
    <n v="4317"/>
    <s v="24.161293506622314"/>
    <s v="results/1/item_solutions/pi-12-1000-1000-001.kna_100000_10_items.csv"/>
  </r>
  <r>
    <s v="pi-12-1000-1000-001.kna"/>
    <x v="1"/>
    <x v="2"/>
    <n v="4556"/>
    <n v="4552"/>
    <n v="4286"/>
    <s v="23.800001621246334"/>
    <s v="results/1/item_solutions/pi-12-1000-1000-001.kna_100000_15_items.csv"/>
  </r>
  <r>
    <s v="pi-12-1000-1000-001.kna"/>
    <x v="1"/>
    <x v="3"/>
    <n v="4556"/>
    <n v="4553"/>
    <n v="3937"/>
    <s v="25.06761407852173"/>
    <s v="results/1/item_solutions/pi-12-1000-1000-001.kna_100000_20_items.csv"/>
  </r>
  <r>
    <s v="pi-12-1000-1000-001.kna"/>
    <x v="1"/>
    <x v="4"/>
    <n v="4556"/>
    <n v="4533"/>
    <n v="4127"/>
    <s v="22.582212924957275"/>
    <s v="results/1/item_solutions/pi-12-1000-1000-001.kna_100000_5_items.csv"/>
  </r>
  <r>
    <s v="pi-12-1000-1000-001.kna"/>
    <x v="2"/>
    <x v="0"/>
    <n v="4556"/>
    <n v="4540"/>
    <n v="4400"/>
    <s v="3.042424201965332"/>
    <s v="results/1/item_solutions/pi-12-1000-1000-001.kna_10000_1_items.csv"/>
  </r>
  <r>
    <s v="pi-12-1000-1000-001.kna"/>
    <x v="2"/>
    <x v="1"/>
    <n v="4556"/>
    <n v="4533"/>
    <n v="4127"/>
    <s v="2.2065539360046387"/>
    <s v="results/1/item_solutions/pi-12-1000-1000-001.kna_10000_10_items.csv"/>
  </r>
  <r>
    <s v="pi-12-1000-1000-001.kna"/>
    <x v="2"/>
    <x v="2"/>
    <n v="4556"/>
    <n v="4528"/>
    <n v="4514"/>
    <s v="2.879629135131836"/>
    <s v="results/1/item_solutions/pi-12-1000-1000-001.kna_10000_15_items.csv"/>
  </r>
  <r>
    <s v="pi-12-1000-1000-001.kna"/>
    <x v="2"/>
    <x v="3"/>
    <n v="4556"/>
    <n v="4534"/>
    <n v="3778"/>
    <s v="2.5320727825164795"/>
    <s v="results/1/item_solutions/pi-12-1000-1000-001.kna_10000_20_items.csv"/>
  </r>
  <r>
    <s v="pi-12-1000-1000-001.kna"/>
    <x v="2"/>
    <x v="4"/>
    <n v="4556"/>
    <n v="4518"/>
    <n v="3930"/>
    <s v="2.485835552215576"/>
    <s v="results/1/item_solutions/pi-12-1000-1000-001.kna_10000_5_items.csv"/>
  </r>
  <r>
    <s v="pi-12-1000-1000-001.kna"/>
    <x v="3"/>
    <x v="0"/>
    <n v="4556"/>
    <n v="4545"/>
    <n v="4013"/>
    <s v="0.2121336460113525"/>
    <s v="results/1/item_solutions/pi-12-1000-1000-001.kna_1000_1_items.csv"/>
  </r>
  <r>
    <s v="pi-12-1000-1000-001.kna"/>
    <x v="3"/>
    <x v="1"/>
    <n v="4556"/>
    <n v="4545"/>
    <n v="4013"/>
    <s v="0.2144832611083984"/>
    <s v="results/1/item_solutions/pi-12-1000-1000-001.kna_1000_10_items.csv"/>
  </r>
  <r>
    <s v="pi-12-1000-1000-001.kna"/>
    <x v="3"/>
    <x v="2"/>
    <n v="4556"/>
    <n v="4528"/>
    <n v="4514"/>
    <s v="0.2695672512054443"/>
    <s v="results/1/item_solutions/pi-12-1000-1000-001.kna_1000_15_items.csv"/>
  </r>
  <r>
    <s v="pi-12-1000-1000-001.kna"/>
    <x v="3"/>
    <x v="3"/>
    <n v="4556"/>
    <n v="4552"/>
    <n v="4286"/>
    <s v="0.2138726711273193"/>
    <s v="results/1/item_solutions/pi-12-1000-1000-001.kna_1000_20_items.csv"/>
  </r>
  <r>
    <s v="pi-12-1000-1000-001.kna"/>
    <x v="3"/>
    <x v="4"/>
    <n v="4556"/>
    <n v="4541"/>
    <n v="4051"/>
    <s v="0.2140984535217285"/>
    <s v="results/1/item_solutions/pi-12-1000-1000-001.kna_1000_5_items.csv"/>
  </r>
  <r>
    <s v="pi-12-1000-1000-001.kna"/>
    <x v="4"/>
    <x v="0"/>
    <n v="4556"/>
    <n v="4545"/>
    <n v="4013"/>
    <s v="0.0206489562988281"/>
    <s v="results/1/item_solutions/pi-12-1000-1000-001.kna_100_1_items.csv"/>
  </r>
  <r>
    <s v="pi-12-1000-1000-001.kna"/>
    <x v="4"/>
    <x v="1"/>
    <n v="4556"/>
    <n v="4556"/>
    <n v="4248"/>
    <s v="0.0281434059143066"/>
    <s v="results/1/item_solutions/pi-12-1000-1000-001.kna_100_10_items.csv"/>
  </r>
  <r>
    <s v="pi-12-1000-1000-001.kna"/>
    <x v="4"/>
    <x v="2"/>
    <n v="4556"/>
    <n v="4540"/>
    <n v="4400"/>
    <s v="0.0264678001403808"/>
    <s v="results/1/item_solutions/pi-12-1000-1000-001.kna_100_15_items.csv"/>
  </r>
  <r>
    <s v="pi-12-1000-1000-001.kna"/>
    <x v="4"/>
    <x v="3"/>
    <n v="4556"/>
    <n v="4544"/>
    <n v="4362"/>
    <s v="0.024785041809082"/>
    <s v="results/1/item_solutions/pi-12-1000-1000-001.kna_100_20_items.csv"/>
  </r>
  <r>
    <s v="pi-12-1000-1000-001.kna"/>
    <x v="4"/>
    <x v="4"/>
    <n v="4556"/>
    <n v="4533"/>
    <n v="4127"/>
    <s v="0.0235209465026855"/>
    <s v="results/1/item_solutions/pi-12-1000-1000-001.kna_100_5_items.csv"/>
  </r>
  <r>
    <s v="pi-12-1000-1000-001.kna"/>
    <x v="5"/>
    <x v="0"/>
    <n v="4556"/>
    <n v="4528"/>
    <n v="4514"/>
    <s v="0.0030338764190673"/>
    <s v="results/1/item_solutions/pi-12-1000-1000-001.kna_10_1_items.csv"/>
  </r>
  <r>
    <s v="pi-12-1000-1000-001.kna"/>
    <x v="5"/>
    <x v="1"/>
    <n v="4556"/>
    <n v="4552"/>
    <n v="4286"/>
    <s v="0.0029983520507812"/>
    <s v="results/1/item_solutions/pi-12-1000-1000-001.kna_10_10_items.csv"/>
  </r>
  <r>
    <s v="pi-12-1000-1000-001.kna"/>
    <x v="5"/>
    <x v="2"/>
    <n v="4556"/>
    <n v="4518"/>
    <n v="3930"/>
    <s v="0.0020294189453125"/>
    <s v="results/1/item_solutions/pi-12-1000-1000-001.kna_10_15_items.csv"/>
  </r>
  <r>
    <s v="pi-12-1000-1000-001.kna"/>
    <x v="5"/>
    <x v="3"/>
    <n v="4556"/>
    <n v="4556"/>
    <n v="4248"/>
    <s v="0.0030329227447509"/>
    <s v="results/1/item_solutions/pi-12-1000-1000-001.kna_10_20_items.csv"/>
  </r>
  <r>
    <s v="pi-12-1000-1000-001.kna"/>
    <x v="5"/>
    <x v="4"/>
    <n v="4556"/>
    <n v="4533"/>
    <n v="4127"/>
    <s v="0.0029985904693603"/>
    <s v="results/1/item_solutions/pi-12-1000-1000-001.kna_10_5_items.csv"/>
  </r>
  <r>
    <s v="pi-12-1000-1000-001.kna"/>
    <x v="6"/>
    <x v="0"/>
    <n v="4556"/>
    <n v="4541"/>
    <n v="4051"/>
    <s v="95.87966752052309"/>
    <s v="results/1/item_solutions/pi-12-1000-1000-001.kna_500000_1_items.csv"/>
  </r>
  <r>
    <s v="pi-12-1000-1000-001.kna"/>
    <x v="6"/>
    <x v="1"/>
    <n v="4556"/>
    <n v="4556"/>
    <n v="4248"/>
    <s v="127.1431167125702"/>
    <s v="results/1/item_solutions/pi-12-1000-1000-001.kna_500000_10_items.csv"/>
  </r>
  <r>
    <s v="pi-12-1000-1000-001.kna"/>
    <x v="6"/>
    <x v="2"/>
    <n v="4556"/>
    <n v="4540"/>
    <n v="4400"/>
    <s v="140.97096967697144"/>
    <s v="results/1/item_solutions/pi-12-1000-1000-001.kna_500000_15_items.csv"/>
  </r>
  <r>
    <s v="pi-12-1000-1000-001.kna"/>
    <x v="6"/>
    <x v="3"/>
    <n v="4556"/>
    <n v="4528"/>
    <n v="4514"/>
    <s v="105.09038639068604"/>
    <s v="results/1/item_solutions/pi-12-1000-1000-001.kna_500000_20_items.csv"/>
  </r>
  <r>
    <s v="pi-12-1000-1000-001.kna"/>
    <x v="6"/>
    <x v="4"/>
    <n v="4556"/>
    <n v="4525"/>
    <n v="4203"/>
    <s v="111.5992078781128"/>
    <s v="results/1/item_solutions/pi-12-1000-1000-001.kna_500000_5_items.csv"/>
  </r>
  <r>
    <s v="pi-12-1000-1000-001.kna"/>
    <x v="7"/>
    <x v="0"/>
    <n v="4556"/>
    <n v="4548"/>
    <n v="4324"/>
    <s v="10.358594179153442"/>
    <s v="results/1/item_solutions/pi-12-1000-1000-001.kna_50000_1_items.csv"/>
  </r>
  <r>
    <s v="pi-12-1000-1000-001.kna"/>
    <x v="7"/>
    <x v="1"/>
    <n v="4556"/>
    <n v="4537"/>
    <n v="4089"/>
    <s v="11.624333143234251"/>
    <s v="results/1/item_solutions/pi-12-1000-1000-001.kna_50000_10_items.csv"/>
  </r>
  <r>
    <s v="pi-12-1000-1000-001.kna"/>
    <x v="7"/>
    <x v="2"/>
    <n v="4556"/>
    <n v="4556"/>
    <n v="4248"/>
    <s v="10.004270792007446"/>
    <s v="results/1/item_solutions/pi-12-1000-1000-001.kna_50000_15_items.csv"/>
  </r>
  <r>
    <s v="pi-12-1000-1000-001.kna"/>
    <x v="7"/>
    <x v="3"/>
    <n v="4556"/>
    <n v="4533"/>
    <n v="4127"/>
    <s v="12.019917249679564"/>
    <s v="results/1/item_solutions/pi-12-1000-1000-001.kna_50000_20_items.csv"/>
  </r>
  <r>
    <s v="pi-12-1000-1000-001.kna"/>
    <x v="7"/>
    <x v="4"/>
    <n v="4556"/>
    <n v="4505"/>
    <n v="4393"/>
    <s v="15.433939695358276"/>
    <s v="results/1/item_solutions/pi-12-1000-1000-001.kna_50000_5_items.csv"/>
  </r>
  <r>
    <s v="pi-12-1000-1000-001.kna"/>
    <x v="8"/>
    <x v="0"/>
    <n v="4556"/>
    <n v="4537"/>
    <n v="4089"/>
    <s v="1.2036681175231934"/>
    <s v="results/1/item_solutions/pi-12-1000-1000-001.kna_5000_1_items.csv"/>
  </r>
  <r>
    <s v="pi-12-1000-1000-001.kna"/>
    <x v="8"/>
    <x v="1"/>
    <n v="4556"/>
    <n v="4540"/>
    <n v="4400"/>
    <s v="1.1607646942138672"/>
    <s v="results/1/item_solutions/pi-12-1000-1000-001.kna_5000_10_items.csv"/>
  </r>
  <r>
    <s v="pi-12-1000-1000-001.kna"/>
    <x v="8"/>
    <x v="2"/>
    <n v="4556"/>
    <n v="4540"/>
    <n v="4400"/>
    <s v="0.989065647125244"/>
    <s v="results/1/item_solutions/pi-12-1000-1000-001.kna_5000_15_items.csv"/>
  </r>
  <r>
    <s v="pi-12-1000-1000-001.kna"/>
    <x v="8"/>
    <x v="3"/>
    <n v="4556"/>
    <n v="4536"/>
    <n v="4438"/>
    <s v="1.024644136428833"/>
    <s v="results/1/item_solutions/pi-12-1000-1000-001.kna_5000_20_items.csv"/>
  </r>
  <r>
    <s v="pi-12-1000-1000-001.kna"/>
    <x v="8"/>
    <x v="4"/>
    <n v="4556"/>
    <n v="4553"/>
    <n v="3937"/>
    <s v="0.8832697868347168"/>
    <s v="results/1/item_solutions/pi-12-1000-1000-001.kna_5000_5_items.csv"/>
  </r>
  <r>
    <s v="pi-12-1000-1000-001.kna"/>
    <x v="9"/>
    <x v="0"/>
    <n v="4556"/>
    <n v="4498"/>
    <n v="4120"/>
    <s v="0.1628899574279785"/>
    <s v="results/1/item_solutions/pi-12-1000-1000-001.kna_500_1_items.csv"/>
  </r>
  <r>
    <s v="pi-12-1000-1000-001.kna"/>
    <x v="9"/>
    <x v="1"/>
    <n v="4556"/>
    <n v="4541"/>
    <n v="4051"/>
    <s v="0.1279613971710205"/>
    <s v="results/1/item_solutions/pi-12-1000-1000-001.kna_500_10_items.csv"/>
  </r>
  <r>
    <s v="pi-12-1000-1000-001.kna"/>
    <x v="9"/>
    <x v="2"/>
    <n v="4556"/>
    <n v="4533"/>
    <n v="4127"/>
    <s v="0.0996210575103759"/>
    <s v="results/1/item_solutions/pi-12-1000-1000-001.kna_500_15_items.csv"/>
  </r>
  <r>
    <s v="pi-12-1000-1000-001.kna"/>
    <x v="9"/>
    <x v="3"/>
    <n v="4556"/>
    <n v="4548"/>
    <n v="4324"/>
    <s v="0.1186511516571044"/>
    <s v="results/1/item_solutions/pi-12-1000-1000-001.kna_500_20_items.csv"/>
  </r>
  <r>
    <s v="pi-12-1000-1000-001.kna"/>
    <x v="9"/>
    <x v="4"/>
    <n v="4556"/>
    <n v="4540"/>
    <n v="4400"/>
    <s v="0.1236851215362548"/>
    <s v="results/1/item_solutions/pi-12-1000-1000-001.kna_500_5_items.csv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pi-12-10000-1000-001.kna"/>
    <x v="0"/>
    <x v="0"/>
    <n v="45132"/>
    <n v="45132"/>
    <n v="41114"/>
    <s v="0.0916154384613037"/>
    <s v="results/2/item_solutions/pi-12-10000-1000-001.kna_10_1_items.csv"/>
  </r>
  <r>
    <s v="pi-12-10000-1000-001.kna"/>
    <x v="0"/>
    <x v="1"/>
    <n v="45132"/>
    <n v="45131"/>
    <n v="41463"/>
    <s v="0.0655920505523681"/>
    <s v="results/2/item_solutions/pi-12-10000-1000-001.kna_10_5_items.csv"/>
  </r>
  <r>
    <s v="pi-12-10000-1000-001.kna"/>
    <x v="0"/>
    <x v="2"/>
    <n v="45132"/>
    <n v="45132"/>
    <n v="41114"/>
    <s v="0.0622124671936035"/>
    <s v="results/2/item_solutions/pi-12-10000-1000-001.kna_10_10_items.csv"/>
  </r>
  <r>
    <s v="pi-12-10000-1000-001.kna"/>
    <x v="0"/>
    <x v="3"/>
    <n v="45132"/>
    <n v="45111"/>
    <n v="41653"/>
    <s v="0.0666205883026123"/>
    <s v="results/2/item_solutions/pi-12-10000-1000-001.kna_10_15_items.csv"/>
  </r>
  <r>
    <s v="pi-12-10000-1000-001.kna"/>
    <x v="0"/>
    <x v="4"/>
    <n v="45132"/>
    <n v="45111"/>
    <n v="41653"/>
    <s v="0.0698955059051513"/>
    <s v="results/2/item_solutions/pi-12-10000-1000-001.kna_10_20_items.csv"/>
  </r>
  <r>
    <s v="pi-12-10000-1000-001.kna"/>
    <x v="1"/>
    <x v="0"/>
    <n v="45132"/>
    <n v="45132"/>
    <n v="41114"/>
    <s v="0.5450429916381836"/>
    <s v="results/2/item_solutions/pi-12-10000-1000-001.kna_100_1_items.csv"/>
  </r>
  <r>
    <s v="pi-12-10000-1000-001.kna"/>
    <x v="1"/>
    <x v="1"/>
    <n v="45132"/>
    <n v="45126"/>
    <n v="40492"/>
    <s v="0.5924644470214844"/>
    <s v="results/2/item_solutions/pi-12-10000-1000-001.kna_100_5_items.csv"/>
  </r>
  <r>
    <s v="pi-12-10000-1000-001.kna"/>
    <x v="1"/>
    <x v="2"/>
    <n v="45132"/>
    <n v="45107"/>
    <n v="41691"/>
    <s v="0.5922954082489014"/>
    <s v="results/2/item_solutions/pi-12-10000-1000-001.kna_100_10_items.csv"/>
  </r>
  <r>
    <s v="pi-12-10000-1000-001.kna"/>
    <x v="1"/>
    <x v="3"/>
    <n v="45132"/>
    <n v="45116"/>
    <n v="41266"/>
    <s v="0.5757656097412109"/>
    <s v="results/2/item_solutions/pi-12-10000-1000-001.kna_100_15_items.csv"/>
  </r>
  <r>
    <s v="pi-12-10000-1000-001.kna"/>
    <x v="1"/>
    <x v="4"/>
    <n v="45132"/>
    <n v="45114"/>
    <n v="41964"/>
    <s v="0.6276736259460449"/>
    <s v="results/2/item_solutions/pi-12-10000-1000-001.kna_100_20_items.csv"/>
  </r>
  <r>
    <s v="pi-12-10000-1000-001.kna"/>
    <x v="2"/>
    <x v="0"/>
    <n v="45132"/>
    <n v="45126"/>
    <n v="41850"/>
    <s v="2.4934215545654297"/>
    <s v="results/2/item_solutions/pi-12-10000-1000-001.kna_500_1_items.csv"/>
  </r>
  <r>
    <s v="pi-12-10000-1000-001.kna"/>
    <x v="2"/>
    <x v="1"/>
    <n v="45132"/>
    <n v="45119"/>
    <n v="41577"/>
    <s v="2.586444139480591"/>
    <s v="results/2/item_solutions/pi-12-10000-1000-001.kna_500_5_items.csv"/>
  </r>
  <r>
    <s v="pi-12-10000-1000-001.kna"/>
    <x v="2"/>
    <x v="2"/>
    <n v="45132"/>
    <n v="45113"/>
    <n v="40955"/>
    <s v="2.970160484313965"/>
    <s v="results/2/item_solutions/pi-12-10000-1000-001.kna_500_10_items.csv"/>
  </r>
  <r>
    <s v="pi-12-10000-1000-001.kna"/>
    <x v="2"/>
    <x v="3"/>
    <n v="45132"/>
    <n v="45104"/>
    <n v="41380"/>
    <s v="2.994368076324463"/>
    <s v="results/2/item_solutions/pi-12-10000-1000-001.kna_500_15_items.csv"/>
  </r>
  <r>
    <s v="pi-12-10000-1000-001.kna"/>
    <x v="2"/>
    <x v="4"/>
    <n v="45132"/>
    <n v="45130"/>
    <n v="41812"/>
    <s v="3.571988105773926"/>
    <s v="results/2/item_solutions/pi-12-10000-1000-001.kna_500_20_items.csv"/>
  </r>
  <r>
    <s v="pi-12-10000-1000-001.kna"/>
    <x v="3"/>
    <x v="0"/>
    <n v="45132"/>
    <n v="45116"/>
    <n v="41266"/>
    <s v="6.536093235015869"/>
    <s v="results/2/item_solutions/pi-12-10000-1000-001.kna_1000_1_items.csv"/>
  </r>
  <r>
    <s v="pi-12-10000-1000-001.kna"/>
    <x v="3"/>
    <x v="1"/>
    <n v="45132"/>
    <n v="45126"/>
    <n v="41850"/>
    <s v="5.748890161514282"/>
    <s v="results/2/item_solutions/pi-12-10000-1000-001.kna_1000_5_items.csv"/>
  </r>
  <r>
    <s v="pi-12-10000-1000-001.kna"/>
    <x v="3"/>
    <x v="2"/>
    <n v="45132"/>
    <n v="45107"/>
    <n v="41691"/>
    <s v="6.017713069915772"/>
    <s v="results/2/item_solutions/pi-12-10000-1000-001.kna_1000_10_items.csv"/>
  </r>
  <r>
    <s v="pi-12-10000-1000-001.kna"/>
    <x v="3"/>
    <x v="3"/>
    <n v="45132"/>
    <n v="45103"/>
    <n v="40371"/>
    <s v="5.850481033325195"/>
    <s v="results/2/item_solutions/pi-12-10000-1000-001.kna_1000_15_items.csv"/>
  </r>
  <r>
    <s v="pi-12-10000-1000-001.kna"/>
    <x v="3"/>
    <x v="4"/>
    <n v="45132"/>
    <n v="45116"/>
    <n v="41266"/>
    <s v="5.568945646286011"/>
    <s v="results/2/item_solutions/pi-12-10000-1000-001.kna_1000_20_items.csv"/>
  </r>
  <r>
    <s v="pi-12-10000-1000-001.kna"/>
    <x v="4"/>
    <x v="0"/>
    <n v="45132"/>
    <n v="45128"/>
    <n v="41152"/>
    <s v="25.158998489379883"/>
    <s v="results/2/item_solutions/pi-12-10000-1000-001.kna_5000_1_items.csv"/>
  </r>
  <r>
    <s v="pi-12-10000-1000-001.kna"/>
    <x v="4"/>
    <x v="1"/>
    <n v="45132"/>
    <n v="45121"/>
    <n v="40879"/>
    <s v="27.906883001327515"/>
    <s v="results/2/item_solutions/pi-12-10000-1000-001.kna_5000_5_items.csv"/>
  </r>
  <r>
    <s v="pi-12-10000-1000-001.kna"/>
    <x v="4"/>
    <x v="2"/>
    <n v="45132"/>
    <n v="45108"/>
    <n v="41342"/>
    <s v="28.860580921173096"/>
    <s v="results/2/item_solutions/pi-12-10000-1000-001.kna_5000_10_items.csv"/>
  </r>
  <r>
    <s v="pi-12-10000-1000-001.kna"/>
    <x v="4"/>
    <x v="3"/>
    <n v="45132"/>
    <n v="45132"/>
    <n v="41114"/>
    <s v="29.22139835357666"/>
    <s v="results/2/item_solutions/pi-12-10000-1000-001.kna_5000_15_items.csv"/>
  </r>
  <r>
    <s v="pi-12-10000-1000-001.kna"/>
    <x v="4"/>
    <x v="4"/>
    <n v="45132"/>
    <n v="45118"/>
    <n v="41926"/>
    <s v="29.329960346221924"/>
    <s v="results/2/item_solutions/pi-12-10000-1000-001.kna_5000_20_items.csv"/>
  </r>
  <r>
    <s v="pi-12-10000-1000-001.kna"/>
    <x v="5"/>
    <x v="0"/>
    <n v="45132"/>
    <n v="45110"/>
    <n v="40644"/>
    <s v="56.088557720184326"/>
    <s v="results/2/item_solutions/pi-12-10000-1000-001.kna_10000_1_items.csv"/>
  </r>
  <r>
    <s v="pi-12-10000-1000-001.kna"/>
    <x v="5"/>
    <x v="1"/>
    <n v="45132"/>
    <n v="45103"/>
    <n v="40371"/>
    <s v="57.8935821056366"/>
    <s v="results/2/item_solutions/pi-12-10000-1000-001.kna_10000_5_items.csv"/>
  </r>
  <r>
    <s v="pi-12-10000-1000-001.kna"/>
    <x v="5"/>
    <x v="2"/>
    <n v="45132"/>
    <n v="45129"/>
    <n v="40803"/>
    <s v="56.12543702125549"/>
    <s v="results/2/item_solutions/pi-12-10000-1000-001.kna_10000_10_items.csv"/>
  </r>
  <r>
    <s v="pi-12-10000-1000-001.kna"/>
    <x v="5"/>
    <x v="3"/>
    <n v="45132"/>
    <n v="45121"/>
    <n v="40879"/>
    <s v="58.95407104492188"/>
    <s v="results/2/item_solutions/pi-12-10000-1000-001.kna_10000_15_items.csv"/>
  </r>
  <r>
    <s v="pi-12-10000-1000-001.kna"/>
    <x v="5"/>
    <x v="4"/>
    <n v="45132"/>
    <n v="45128"/>
    <n v="41152"/>
    <s v="53.93251419067383"/>
    <s v="results/2/item_solutions/pi-12-10000-1000-001.kna_10000_20_items.csv"/>
  </r>
  <r>
    <s v="pi-12-10000-1000-001.kna"/>
    <x v="6"/>
    <x v="0"/>
    <n v="45132"/>
    <n v="45128"/>
    <n v="41152"/>
    <s v="275.5691947937012"/>
    <s v="results/2/item_solutions/pi-12-10000-1000-001.kna_50000_1_items.csv"/>
  </r>
  <r>
    <s v="pi-12-10000-1000-001.kna"/>
    <x v="6"/>
    <x v="1"/>
    <n v="45132"/>
    <n v="45128"/>
    <n v="41152"/>
    <s v="281.7764410972595"/>
    <s v="results/2/item_solutions/pi-12-10000-1000-001.kna_50000_5_items.csv"/>
  </r>
  <r>
    <s v="pi-12-10000-1000-001.kna"/>
    <x v="6"/>
    <x v="2"/>
    <n v="45132"/>
    <n v="45131"/>
    <n v="41463"/>
    <s v="291.6684498786926"/>
    <s v="results/2/item_solutions/pi-12-10000-1000-001.kna_50000_10_items.csv"/>
  </r>
  <r>
    <s v="pi-12-10000-1000-001.kna"/>
    <x v="6"/>
    <x v="3"/>
    <n v="45132"/>
    <n v="45115"/>
    <n v="41615"/>
    <s v="295.53466176986694"/>
    <s v="results/2/item_solutions/pi-12-10000-1000-001.kna_50000_15_items.csv"/>
  </r>
  <r>
    <s v="pi-12-10000-1000-001.kna"/>
    <x v="6"/>
    <x v="4"/>
    <n v="45132"/>
    <n v="45118"/>
    <n v="41926"/>
    <s v="280.9444189071655"/>
    <s v="results/2/item_solutions/pi-12-10000-1000-001.kna_50000_20_items.csv"/>
  </r>
  <r>
    <s v="pi-12-10000-1000-001.kna"/>
    <x v="7"/>
    <x v="0"/>
    <n v="45132"/>
    <n v="45109"/>
    <n v="40993"/>
    <s v="634.410392999649"/>
    <s v="results/2/item_solutions/pi-12-10000-1000-001.kna_100000_1_items.csv"/>
  </r>
  <r>
    <s v="pi-12-10000-1000-001.kna"/>
    <x v="7"/>
    <x v="1"/>
    <n v="45132"/>
    <n v="45126"/>
    <n v="41850"/>
    <s v="549.1418652534485"/>
    <s v="results/2/item_solutions/pi-12-10000-1000-001.kna_100000_5_items.csv"/>
  </r>
  <r>
    <s v="pi-12-10000-1000-001.kna"/>
    <x v="7"/>
    <x v="2"/>
    <n v="45132"/>
    <n v="45118"/>
    <n v="41926"/>
    <s v="557.0277833938599"/>
    <s v="results/2/item_solutions/pi-12-10000-1000-001.kna_100000_10_items.csv"/>
  </r>
  <r>
    <s v="pi-12-10000-1000-001.kna"/>
    <x v="7"/>
    <x v="3"/>
    <n v="45132"/>
    <n v="45114"/>
    <n v="41964"/>
    <s v="548.7647206783295"/>
    <s v="results/2/item_solutions/pi-12-10000-1000-001.kna_100000_15_items.csv"/>
  </r>
  <r>
    <s v="pi-12-10000-1000-001.kna"/>
    <x v="7"/>
    <x v="4"/>
    <n v="45132"/>
    <n v="45113"/>
    <n v="40955"/>
    <s v="615.5410623550415"/>
    <s v="results/2/item_solutions/pi-12-10000-1000-001.kna_100000_20_items.csv"/>
  </r>
  <r>
    <s v="pi-12-10000-1000-001.kna"/>
    <x v="8"/>
    <x v="0"/>
    <n v="45132"/>
    <n v="45102"/>
    <n v="40720"/>
    <s v="2844.257921218872"/>
    <s v="results/2/item_solutions/pi-12-10000-1000-001.kna_500000_1_items.csv"/>
  </r>
  <r>
    <s v="pi-12-10000-1000-001.kna"/>
    <x v="8"/>
    <x v="1"/>
    <n v="45132"/>
    <n v="45109"/>
    <n v="40993"/>
    <s v="2628.588095188141"/>
    <s v="results/2/item_solutions/pi-12-10000-1000-001.kna_500000_5_items.csv"/>
  </r>
  <r>
    <s v="pi-12-10000-1000-001.kna"/>
    <x v="8"/>
    <x v="2"/>
    <n v="45132"/>
    <n v="45105"/>
    <n v="42389"/>
    <s v="2713.8731825351715"/>
    <s v="results/2/item_solutions/pi-12-10000-1000-001.kna_500000_10_items.csv"/>
  </r>
  <r>
    <s v="pi-12-10000-1000-001.kna"/>
    <x v="8"/>
    <x v="3"/>
    <n v="45132"/>
    <n v="45118"/>
    <n v="41926"/>
    <s v="2706.4263792037964"/>
    <s v="results/2/item_solutions/pi-12-10000-1000-001.kna_500000_15_items.csv"/>
  </r>
  <r>
    <s v="pi-12-10000-1000-001.kna"/>
    <x v="8"/>
    <x v="4"/>
    <n v="45132"/>
    <n v="45132"/>
    <n v="41114"/>
    <s v="2796.626061201096"/>
    <s v="results/2/item_solutions/pi-12-10000-1000-001.kna_500000_20_items.csv"/>
  </r>
  <r>
    <s v="pi-12-10000-1000-001.kna"/>
    <x v="9"/>
    <x v="0"/>
    <n v="45132"/>
    <n v="45132"/>
    <n v="41114"/>
    <s v="5612.442616462708"/>
    <s v="results/2/item_solutions/pi-12-10000-1000-001.kna_1000000_1_items.csv"/>
  </r>
  <r>
    <s v="pi-12-10000-1000-001.kna"/>
    <x v="9"/>
    <x v="1"/>
    <n v="45132"/>
    <n v="45114"/>
    <n v="41964"/>
    <s v="5384.439306735992"/>
    <s v="results/2/item_solutions/pi-12-10000-1000-001.kna_1000000_5_items.csv"/>
  </r>
  <r>
    <s v="pi-12-10000-1000-001.kna"/>
    <x v="9"/>
    <x v="2"/>
    <n v="45132"/>
    <n v="45125"/>
    <n v="40841"/>
    <s v="5594.748690128326"/>
    <s v="results/2/item_solutions/pi-12-10000-1000-001.kna_1000000_10_items.csv"/>
  </r>
  <r>
    <s v="pi-12-10000-1000-001.kna"/>
    <x v="9"/>
    <x v="3"/>
    <n v="45132"/>
    <n v="45109"/>
    <n v="40993"/>
    <s v="5521.031674385071"/>
    <s v="results/2/item_solutions/pi-12-10000-1000-001.kna_1000000_15_items.csv"/>
  </r>
  <r>
    <s v="pi-12-10000-1000-001.kna"/>
    <x v="9"/>
    <x v="4"/>
    <n v="45132"/>
    <n v="45107"/>
    <n v="41691"/>
    <s v="5774.591715097427"/>
    <s v="results/2/item_solutions/pi-12-10000-1000-001.kna_1000000_20_items.csv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pi-13-100-1000-001.kna"/>
    <x v="0"/>
    <x v="0"/>
    <n v="970"/>
    <n v="964"/>
    <n v="1404"/>
    <s v="22.800905466079712"/>
    <s v="results/3/item_solutions/pi-13-100-1000-001.kna_1000000_1_items.csv"/>
  </r>
  <r>
    <s v="pi-13-100-1000-001.kna"/>
    <x v="0"/>
    <x v="1"/>
    <n v="970"/>
    <n v="966"/>
    <n v="1326"/>
    <s v="25.93609571456909"/>
    <s v="results/3/item_solutions/pi-13-100-1000-001.kna_1000000_10_items.csv"/>
  </r>
  <r>
    <s v="pi-13-100-1000-001.kna"/>
    <x v="0"/>
    <x v="2"/>
    <n v="970"/>
    <n v="962"/>
    <n v="1482"/>
    <s v="30.07906413078308"/>
    <s v="results/3/item_solutions/pi-13-100-1000-001.kna_1000000_15_items.csv"/>
  </r>
  <r>
    <s v="pi-13-100-1000-001.kna"/>
    <x v="0"/>
    <x v="3"/>
    <n v="970"/>
    <n v="964"/>
    <n v="1404"/>
    <s v="0.0010004043579101"/>
    <s v="results/3/item_solutions/pi-13-100-1000-001.kna_1000000_20_items.csv"/>
  </r>
  <r>
    <s v="pi-13-100-1000-001.kna"/>
    <x v="0"/>
    <x v="4"/>
    <n v="970"/>
    <n v="964"/>
    <n v="1404"/>
    <s v="0.0"/>
    <s v="results/3/item_solutions/pi-13-100-1000-001.kna_1000000_5_items.csv"/>
  </r>
  <r>
    <s v="pi-13-100-1000-001.kna"/>
    <x v="1"/>
    <x v="0"/>
    <n v="970"/>
    <n v="960"/>
    <n v="1560"/>
    <s v="2.647228717803955"/>
    <s v="results/3/item_solutions/pi-13-100-1000-001.kna_100000_1_items.csv"/>
  </r>
  <r>
    <s v="pi-13-100-1000-001.kna"/>
    <x v="1"/>
    <x v="1"/>
    <n v="970"/>
    <n v="969"/>
    <n v="1989"/>
    <s v="3.0895063877105717"/>
    <s v="results/3/item_solutions/pi-13-100-1000-001.kna_100000_10_items.csv"/>
  </r>
  <r>
    <s v="pi-13-100-1000-001.kna"/>
    <x v="1"/>
    <x v="2"/>
    <n v="970"/>
    <n v="960"/>
    <n v="1560"/>
    <s v="3.0781049728393555"/>
    <s v="results/3/item_solutions/pi-13-100-1000-001.kna_100000_15_items.csv"/>
  </r>
  <r>
    <s v="pi-13-100-1000-001.kna"/>
    <x v="1"/>
    <x v="3"/>
    <n v="970"/>
    <n v="960"/>
    <n v="1560"/>
    <s v="3.0885465145111084"/>
    <s v="results/3/item_solutions/pi-13-100-1000-001.kna_100000_20_items.csv"/>
  </r>
  <r>
    <s v="pi-13-100-1000-001.kna"/>
    <x v="1"/>
    <x v="4"/>
    <n v="970"/>
    <n v="960"/>
    <n v="1560"/>
    <s v="2.7825396060943604"/>
    <s v="results/3/item_solutions/pi-13-100-1000-001.kna_100000_5_items.csv"/>
  </r>
  <r>
    <s v="pi-13-100-1000-001.kna"/>
    <x v="2"/>
    <x v="0"/>
    <n v="970"/>
    <n v="968"/>
    <n v="1248"/>
    <s v="0.3499650955200195"/>
    <s v="results/3/item_solutions/pi-13-100-1000-001.kna_10000_1_items.csv"/>
  </r>
  <r>
    <s v="pi-13-100-1000-001.kna"/>
    <x v="2"/>
    <x v="1"/>
    <n v="970"/>
    <n v="968"/>
    <n v="1248"/>
    <s v="0.0"/>
    <s v="results/3/item_solutions/pi-13-100-1000-001.kna_10000_10_items.csv"/>
  </r>
  <r>
    <s v="pi-13-100-1000-001.kna"/>
    <x v="2"/>
    <x v="2"/>
    <n v="970"/>
    <n v="969"/>
    <n v="1989"/>
    <s v="0.315481424331665"/>
    <s v="results/3/item_solutions/pi-13-100-1000-001.kna_10000_15_items.csv"/>
  </r>
  <r>
    <s v="pi-13-100-1000-001.kna"/>
    <x v="2"/>
    <x v="3"/>
    <n v="970"/>
    <n v="962"/>
    <n v="1482"/>
    <s v="0.0020010471343994"/>
    <s v="results/3/item_solutions/pi-13-100-1000-001.kna_10000_20_items.csv"/>
  </r>
  <r>
    <s v="pi-13-100-1000-001.kna"/>
    <x v="2"/>
    <x v="4"/>
    <n v="970"/>
    <n v="960"/>
    <n v="1560"/>
    <s v="0.3282527923583984"/>
    <s v="results/3/item_solutions/pi-13-100-1000-001.kna_10000_5_items.csv"/>
  </r>
  <r>
    <s v="pi-13-100-1000-001.kna"/>
    <x v="3"/>
    <x v="0"/>
    <n v="970"/>
    <n v="970"/>
    <n v="1170"/>
    <s v="0.0"/>
    <s v="results/3/item_solutions/pi-13-100-1000-001.kna_1000_1_items.csv"/>
  </r>
  <r>
    <s v="pi-13-100-1000-001.kna"/>
    <x v="3"/>
    <x v="1"/>
    <n v="970"/>
    <n v="960"/>
    <n v="1560"/>
    <s v="0.02872896194458"/>
    <s v="results/3/item_solutions/pi-13-100-1000-001.kna_1000_10_items.csv"/>
  </r>
  <r>
    <s v="pi-13-100-1000-001.kna"/>
    <x v="3"/>
    <x v="2"/>
    <n v="970"/>
    <n v="969"/>
    <n v="1989"/>
    <s v="0.0570693016052246"/>
    <s v="results/3/item_solutions/pi-13-100-1000-001.kna_1000_15_items.csv"/>
  </r>
  <r>
    <s v="pi-13-100-1000-001.kna"/>
    <x v="3"/>
    <x v="3"/>
    <n v="970"/>
    <n v="958"/>
    <n v="1638"/>
    <s v="0.0457642078399658"/>
    <s v="results/3/item_solutions/pi-13-100-1000-001.kna_1000_20_items.csv"/>
  </r>
  <r>
    <s v="pi-13-100-1000-001.kna"/>
    <x v="3"/>
    <x v="4"/>
    <n v="970"/>
    <n v="970"/>
    <n v="1170"/>
    <s v="0.0010325908660888"/>
    <s v="results/3/item_solutions/pi-13-100-1000-001.kna_1000_5_items.csv"/>
  </r>
  <r>
    <s v="pi-13-100-1000-001.kna"/>
    <x v="4"/>
    <x v="0"/>
    <n v="970"/>
    <n v="960"/>
    <n v="1560"/>
    <s v="0.0030322074890136"/>
    <s v="results/3/item_solutions/pi-13-100-1000-001.kna_100_1_items.csv"/>
  </r>
  <r>
    <s v="pi-13-100-1000-001.kna"/>
    <x v="4"/>
    <x v="1"/>
    <n v="970"/>
    <n v="960"/>
    <n v="1560"/>
    <s v="0.0041515827178955"/>
    <s v="results/3/item_solutions/pi-13-100-1000-001.kna_100_10_items.csv"/>
  </r>
  <r>
    <s v="pi-13-100-1000-001.kna"/>
    <x v="4"/>
    <x v="2"/>
    <n v="970"/>
    <n v="970"/>
    <n v="1170"/>
    <s v="0.0010056495666503"/>
    <s v="results/3/item_solutions/pi-13-100-1000-001.kna_100_15_items.csv"/>
  </r>
  <r>
    <s v="pi-13-100-1000-001.kna"/>
    <x v="4"/>
    <x v="3"/>
    <n v="970"/>
    <n v="958"/>
    <n v="1638"/>
    <s v="0.0041182041168212"/>
    <s v="results/3/item_solutions/pi-13-100-1000-001.kna_100_20_items.csv"/>
  </r>
  <r>
    <s v="pi-13-100-1000-001.kna"/>
    <x v="4"/>
    <x v="4"/>
    <n v="970"/>
    <n v="960"/>
    <n v="1560"/>
    <s v="0.0040347576141357"/>
    <s v="results/3/item_solutions/pi-13-100-1000-001.kna_100_5_items.csv"/>
  </r>
  <r>
    <s v="pi-13-100-1000-001.kna"/>
    <x v="5"/>
    <x v="0"/>
    <n v="970"/>
    <n v="964"/>
    <n v="1404"/>
    <s v="0.001000165939331"/>
    <s v="results/3/item_solutions/pi-13-100-1000-001.kna_10_1_items.csv"/>
  </r>
  <r>
    <s v="pi-13-100-1000-001.kna"/>
    <x v="5"/>
    <x v="1"/>
    <n v="970"/>
    <n v="966"/>
    <n v="1326"/>
    <s v="0.0010309219360351"/>
    <s v="results/3/item_solutions/pi-13-100-1000-001.kna_10_10_items.csv"/>
  </r>
  <r>
    <s v="pi-13-100-1000-001.kna"/>
    <x v="5"/>
    <x v="2"/>
    <n v="970"/>
    <n v="966"/>
    <n v="1326"/>
    <s v="0.0009615421295166"/>
    <s v="results/3/item_solutions/pi-13-100-1000-001.kna_10_15_items.csv"/>
  </r>
  <r>
    <s v="pi-13-100-1000-001.kna"/>
    <x v="5"/>
    <x v="3"/>
    <n v="970"/>
    <n v="954"/>
    <n v="1794"/>
    <s v="0.0009946823120117"/>
    <s v="results/3/item_solutions/pi-13-100-1000-001.kna_10_20_items.csv"/>
  </r>
  <r>
    <s v="pi-13-100-1000-001.kna"/>
    <x v="5"/>
    <x v="4"/>
    <n v="970"/>
    <n v="960"/>
    <n v="1560"/>
    <s v="0.0010011196136474"/>
    <s v="results/3/item_solutions/pi-13-100-1000-001.kna_10_5_items.csv"/>
  </r>
  <r>
    <s v="pi-13-100-1000-001.kna"/>
    <x v="6"/>
    <x v="0"/>
    <n v="970"/>
    <n v="968"/>
    <n v="1248"/>
    <s v="13.074460983276367"/>
    <s v="results/3/item_solutions/pi-13-100-1000-001.kna_500000_1_items.csv"/>
  </r>
  <r>
    <s v="pi-13-100-1000-001.kna"/>
    <x v="6"/>
    <x v="1"/>
    <n v="970"/>
    <n v="969"/>
    <n v="1989"/>
    <s v="15.11792278289795"/>
    <s v="results/3/item_solutions/pi-13-100-1000-001.kna_500000_10_items.csv"/>
  </r>
  <r>
    <s v="pi-13-100-1000-001.kna"/>
    <x v="6"/>
    <x v="2"/>
    <n v="970"/>
    <n v="969"/>
    <n v="1989"/>
    <s v="17.077971935272217"/>
    <s v="results/3/item_solutions/pi-13-100-1000-001.kna_500000_15_items.csv"/>
  </r>
  <r>
    <s v="pi-13-100-1000-001.kna"/>
    <x v="6"/>
    <x v="3"/>
    <n v="970"/>
    <n v="969"/>
    <n v="1989"/>
    <s v="15.946476936340332"/>
    <s v="results/3/item_solutions/pi-13-100-1000-001.kna_500000_20_items.csv"/>
  </r>
  <r>
    <s v="pi-13-100-1000-001.kna"/>
    <x v="6"/>
    <x v="4"/>
    <n v="970"/>
    <n v="962"/>
    <n v="1482"/>
    <s v="15.803659200668337"/>
    <s v="results/3/item_solutions/pi-13-100-1000-001.kna_500000_5_items.csv"/>
  </r>
  <r>
    <s v="pi-13-100-1000-001.kna"/>
    <x v="7"/>
    <x v="0"/>
    <n v="970"/>
    <n v="962"/>
    <n v="1482"/>
    <s v="1.359187126159668"/>
    <s v="results/3/item_solutions/pi-13-100-1000-001.kna_50000_1_items.csv"/>
  </r>
  <r>
    <s v="pi-13-100-1000-001.kna"/>
    <x v="7"/>
    <x v="1"/>
    <n v="970"/>
    <n v="966"/>
    <n v="1326"/>
    <s v="0.0009689331054687"/>
    <s v="results/3/item_solutions/pi-13-100-1000-001.kna_50000_10_items.csv"/>
  </r>
  <r>
    <s v="pi-13-100-1000-001.kna"/>
    <x v="7"/>
    <x v="2"/>
    <n v="970"/>
    <n v="970"/>
    <n v="1170"/>
    <s v="0.0"/>
    <s v="results/3/item_solutions/pi-13-100-1000-001.kna_50000_15_items.csv"/>
  </r>
  <r>
    <s v="pi-13-100-1000-001.kna"/>
    <x v="7"/>
    <x v="3"/>
    <n v="970"/>
    <n v="966"/>
    <n v="1326"/>
    <s v="0.0009996891021728"/>
    <s v="results/3/item_solutions/pi-13-100-1000-001.kna_50000_20_items.csv"/>
  </r>
  <r>
    <s v="pi-13-100-1000-001.kna"/>
    <x v="7"/>
    <x v="4"/>
    <n v="970"/>
    <n v="960"/>
    <n v="1560"/>
    <s v="1.8036041259765625"/>
    <s v="results/3/item_solutions/pi-13-100-1000-001.kna_50000_5_items.csv"/>
  </r>
  <r>
    <s v="pi-13-100-1000-001.kna"/>
    <x v="8"/>
    <x v="0"/>
    <n v="970"/>
    <n v="966"/>
    <n v="1326"/>
    <s v="0.3927414417266845"/>
    <s v="results/3/item_solutions/pi-13-100-1000-001.kna_5000_1_items.csv"/>
  </r>
  <r>
    <s v="pi-13-100-1000-001.kna"/>
    <x v="8"/>
    <x v="1"/>
    <n v="970"/>
    <n v="960"/>
    <n v="1560"/>
    <s v="0.1788444519042968"/>
    <s v="results/3/item_solutions/pi-13-100-1000-001.kna_5000_10_items.csv"/>
  </r>
  <r>
    <s v="pi-13-100-1000-001.kna"/>
    <x v="8"/>
    <x v="2"/>
    <n v="970"/>
    <n v="964"/>
    <n v="1404"/>
    <s v="0.1593477725982666"/>
    <s v="results/3/item_solutions/pi-13-100-1000-001.kna_5000_15_items.csv"/>
  </r>
  <r>
    <s v="pi-13-100-1000-001.kna"/>
    <x v="8"/>
    <x v="3"/>
    <n v="970"/>
    <n v="964"/>
    <n v="1404"/>
    <s v="0.0009670257568359"/>
    <s v="results/3/item_solutions/pi-13-100-1000-001.kna_5000_20_items.csv"/>
  </r>
  <r>
    <s v="pi-13-100-1000-001.kna"/>
    <x v="8"/>
    <x v="4"/>
    <n v="970"/>
    <n v="968"/>
    <n v="1248"/>
    <s v="0.0"/>
    <s v="results/3/item_solutions/pi-13-100-1000-001.kna_5000_5_items.csv"/>
  </r>
  <r>
    <s v="pi-13-100-1000-001.kna"/>
    <x v="9"/>
    <x v="0"/>
    <n v="970"/>
    <n v="970"/>
    <n v="1170"/>
    <s v="0.0009980201721191"/>
    <s v="results/3/item_solutions/pi-13-100-1000-001.kna_500_1_items.csv"/>
  </r>
  <r>
    <s v="pi-13-100-1000-001.kna"/>
    <x v="9"/>
    <x v="1"/>
    <n v="970"/>
    <n v="966"/>
    <n v="1326"/>
    <s v="0.0009963512420654"/>
    <s v="results/3/item_solutions/pi-13-100-1000-001.kna_500_10_items.csv"/>
  </r>
  <r>
    <s v="pi-13-100-1000-001.kna"/>
    <x v="9"/>
    <x v="2"/>
    <n v="970"/>
    <n v="956"/>
    <n v="1716"/>
    <s v="0.0161869525909423"/>
    <s v="results/3/item_solutions/pi-13-100-1000-001.kna_500_15_items.csv"/>
  </r>
  <r>
    <s v="pi-13-100-1000-001.kna"/>
    <x v="9"/>
    <x v="3"/>
    <n v="970"/>
    <n v="970"/>
    <n v="1170"/>
    <s v="0.0"/>
    <s v="results/3/item_solutions/pi-13-100-1000-001.kna_500_20_items.csv"/>
  </r>
  <r>
    <s v="pi-13-100-1000-001.kna"/>
    <x v="9"/>
    <x v="4"/>
    <n v="970"/>
    <n v="970"/>
    <n v="1170"/>
    <s v="0.0"/>
    <s v="results/3/item_solutions/pi-13-100-1000-001.kna_500_5_items.csv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pi-13-1000-1000-001.kna"/>
    <x v="0"/>
    <x v="0"/>
    <n v="3177"/>
    <n v="3166"/>
    <n v="4446"/>
    <s v="237.0011138916016"/>
    <s v="results/4/item_solutions/pi-13-1000-1000-001.kna_1000000_1_items.csv"/>
  </r>
  <r>
    <s v="pi-13-1000-1000-001.kna"/>
    <x v="0"/>
    <x v="1"/>
    <n v="3177"/>
    <n v="3168"/>
    <n v="4368"/>
    <s v="231.37696743011475"/>
    <s v="results/4/item_solutions/pi-13-1000-1000-001.kna_1000000_10_items.csv"/>
  </r>
  <r>
    <s v="pi-13-1000-1000-001.kna"/>
    <x v="0"/>
    <x v="2"/>
    <n v="3177"/>
    <n v="3170"/>
    <n v="4290"/>
    <s v="211.67198777198792"/>
    <s v="results/4/item_solutions/pi-13-1000-1000-001.kna_1000000_15_items.csv"/>
  </r>
  <r>
    <s v="pi-13-1000-1000-001.kna"/>
    <x v="0"/>
    <x v="3"/>
    <n v="3177"/>
    <n v="3175"/>
    <n v="4875"/>
    <s v="283.46908354759216"/>
    <s v="results/4/item_solutions/pi-13-1000-1000-001.kna_1000000_20_items.csv"/>
  </r>
  <r>
    <s v="pi-13-1000-1000-001.kna"/>
    <x v="0"/>
    <x v="4"/>
    <n v="3177"/>
    <n v="3170"/>
    <n v="4290"/>
    <s v="189.4319920539856"/>
    <s v="results/4/item_solutions/pi-13-1000-1000-001.kna_1000000_5_items.csv"/>
  </r>
  <r>
    <s v="pi-13-1000-1000-001.kna"/>
    <x v="1"/>
    <x v="0"/>
    <n v="3177"/>
    <n v="3166"/>
    <n v="4446"/>
    <s v="20.80686044692993"/>
    <s v="results/4/item_solutions/pi-13-1000-1000-001.kna_100000_1_items.csv"/>
  </r>
  <r>
    <s v="pi-13-1000-1000-001.kna"/>
    <x v="1"/>
    <x v="1"/>
    <n v="3177"/>
    <n v="3166"/>
    <n v="4446"/>
    <s v="22.51587462425232"/>
    <s v="results/4/item_solutions/pi-13-1000-1000-001.kna_100000_10_items.csv"/>
  </r>
  <r>
    <s v="pi-13-1000-1000-001.kna"/>
    <x v="1"/>
    <x v="2"/>
    <n v="3177"/>
    <n v="3166"/>
    <n v="4446"/>
    <s v="22.835777759552"/>
    <s v="results/4/item_solutions/pi-13-1000-1000-001.kna_100000_15_items.csv"/>
  </r>
  <r>
    <s v="pi-13-1000-1000-001.kna"/>
    <x v="1"/>
    <x v="3"/>
    <n v="3177"/>
    <n v="3162"/>
    <n v="4602"/>
    <s v="23.418864727020264"/>
    <s v="results/4/item_solutions/pi-13-1000-1000-001.kna_100000_20_items.csv"/>
  </r>
  <r>
    <s v="pi-13-1000-1000-001.kna"/>
    <x v="1"/>
    <x v="4"/>
    <n v="3177"/>
    <n v="3168"/>
    <n v="4368"/>
    <s v="21.33275437355041"/>
    <s v="results/4/item_solutions/pi-13-1000-1000-001.kna_100000_5_items.csv"/>
  </r>
  <r>
    <s v="pi-13-1000-1000-001.kna"/>
    <x v="2"/>
    <x v="0"/>
    <n v="3177"/>
    <n v="3172"/>
    <n v="4212"/>
    <s v="1.924789905548096"/>
    <s v="results/4/item_solutions/pi-13-1000-1000-001.kna_10000_1_items.csv"/>
  </r>
  <r>
    <s v="pi-13-1000-1000-001.kna"/>
    <x v="2"/>
    <x v="1"/>
    <n v="3177"/>
    <n v="3177"/>
    <n v="4797"/>
    <s v="2.293987512588501"/>
    <s v="results/4/item_solutions/pi-13-1000-1000-001.kna_10000_10_items.csv"/>
  </r>
  <r>
    <s v="pi-13-1000-1000-001.kna"/>
    <x v="2"/>
    <x v="2"/>
    <n v="3177"/>
    <n v="3172"/>
    <n v="4212"/>
    <s v="2.7772676944732666"/>
    <s v="results/4/item_solutions/pi-13-1000-1000-001.kna_10000_15_items.csv"/>
  </r>
  <r>
    <s v="pi-13-1000-1000-001.kna"/>
    <x v="2"/>
    <x v="3"/>
    <n v="3177"/>
    <n v="3160"/>
    <n v="4680"/>
    <s v="2.3116588592529297"/>
    <s v="results/4/item_solutions/pi-13-1000-1000-001.kna_10000_20_items.csv"/>
  </r>
  <r>
    <s v="pi-13-1000-1000-001.kna"/>
    <x v="2"/>
    <x v="4"/>
    <n v="3177"/>
    <n v="3170"/>
    <n v="4290"/>
    <s v="1.989459753036499"/>
    <s v="results/4/item_solutions/pi-13-1000-1000-001.kna_10000_5_items.csv"/>
  </r>
  <r>
    <s v="pi-13-1000-1000-001.kna"/>
    <x v="3"/>
    <x v="0"/>
    <n v="3177"/>
    <n v="3174"/>
    <n v="4134"/>
    <s v="0.2353715896606445"/>
    <s v="results/4/item_solutions/pi-13-1000-1000-001.kna_1000_1_items.csv"/>
  </r>
  <r>
    <s v="pi-13-1000-1000-001.kna"/>
    <x v="3"/>
    <x v="1"/>
    <n v="3177"/>
    <n v="3162"/>
    <n v="4602"/>
    <s v="0.2561159133911133"/>
    <s v="results/4/item_solutions/pi-13-1000-1000-001.kna_1000_10_items.csv"/>
  </r>
  <r>
    <s v="pi-13-1000-1000-001.kna"/>
    <x v="3"/>
    <x v="2"/>
    <n v="3177"/>
    <n v="3175"/>
    <n v="4875"/>
    <s v="0.2246615886688232"/>
    <s v="results/4/item_solutions/pi-13-1000-1000-001.kna_1000_15_items.csv"/>
  </r>
  <r>
    <s v="pi-13-1000-1000-001.kna"/>
    <x v="3"/>
    <x v="3"/>
    <n v="3177"/>
    <n v="3164"/>
    <n v="4524"/>
    <s v="0.2773308753967285"/>
    <s v="results/4/item_solutions/pi-13-1000-1000-001.kna_1000_20_items.csv"/>
  </r>
  <r>
    <s v="pi-13-1000-1000-001.kna"/>
    <x v="3"/>
    <x v="4"/>
    <n v="3177"/>
    <n v="3168"/>
    <n v="4368"/>
    <s v="0.2192902565002441"/>
    <s v="results/4/item_solutions/pi-13-1000-1000-001.kna_1000_5_items.csv"/>
  </r>
  <r>
    <s v="pi-13-1000-1000-001.kna"/>
    <x v="4"/>
    <x v="0"/>
    <n v="3177"/>
    <n v="3164"/>
    <n v="4524"/>
    <s v="0.0276436805725097"/>
    <s v="results/4/item_solutions/pi-13-1000-1000-001.kna_100_1_items.csv"/>
  </r>
  <r>
    <s v="pi-13-1000-1000-001.kna"/>
    <x v="4"/>
    <x v="1"/>
    <n v="3177"/>
    <n v="3164"/>
    <n v="4524"/>
    <s v="0.0270376205444335"/>
    <s v="results/4/item_solutions/pi-13-1000-1000-001.kna_100_10_items.csv"/>
  </r>
  <r>
    <s v="pi-13-1000-1000-001.kna"/>
    <x v="4"/>
    <x v="2"/>
    <n v="3177"/>
    <n v="3164"/>
    <n v="4524"/>
    <s v="0.0243234634399414"/>
    <s v="results/4/item_solutions/pi-13-1000-1000-001.kna_100_15_items.csv"/>
  </r>
  <r>
    <s v="pi-13-1000-1000-001.kna"/>
    <x v="4"/>
    <x v="3"/>
    <n v="3177"/>
    <n v="3173"/>
    <n v="4953"/>
    <s v="0.0261275768280029"/>
    <s v="results/4/item_solutions/pi-13-1000-1000-001.kna_100_20_items.csv"/>
  </r>
  <r>
    <s v="pi-13-1000-1000-001.kna"/>
    <x v="4"/>
    <x v="4"/>
    <n v="3177"/>
    <n v="3172"/>
    <n v="4212"/>
    <s v="0.0242233276367187"/>
    <s v="results/4/item_solutions/pi-13-1000-1000-001.kna_100_5_items.csv"/>
  </r>
  <r>
    <s v="pi-13-1000-1000-001.kna"/>
    <x v="5"/>
    <x v="0"/>
    <n v="3177"/>
    <n v="3162"/>
    <n v="4602"/>
    <s v="0.0021090507507324"/>
    <s v="results/4/item_solutions/pi-13-1000-1000-001.kna_10_1_items.csv"/>
  </r>
  <r>
    <s v="pi-13-1000-1000-001.kna"/>
    <x v="5"/>
    <x v="1"/>
    <n v="3177"/>
    <n v="3177"/>
    <n v="4797"/>
    <s v="0.0030367374420166"/>
    <s v="results/4/item_solutions/pi-13-1000-1000-001.kna_10_10_items.csv"/>
  </r>
  <r>
    <s v="pi-13-1000-1000-001.kna"/>
    <x v="5"/>
    <x v="2"/>
    <n v="3177"/>
    <n v="3174"/>
    <n v="4134"/>
    <s v="0.0030345916748046"/>
    <s v="results/4/item_solutions/pi-13-1000-1000-001.kna_10_15_items.csv"/>
  </r>
  <r>
    <s v="pi-13-1000-1000-001.kna"/>
    <x v="5"/>
    <x v="3"/>
    <n v="3177"/>
    <n v="3172"/>
    <n v="4212"/>
    <s v="0.0041670799255371"/>
    <s v="results/4/item_solutions/pi-13-1000-1000-001.kna_10_20_items.csv"/>
  </r>
  <r>
    <s v="pi-13-1000-1000-001.kna"/>
    <x v="5"/>
    <x v="4"/>
    <n v="3177"/>
    <n v="3170"/>
    <n v="4290"/>
    <s v="0.002030611038208"/>
    <s v="results/4/item_solutions/pi-13-1000-1000-001.kna_10_5_items.csv"/>
  </r>
  <r>
    <s v="pi-13-1000-1000-001.kna"/>
    <x v="6"/>
    <x v="0"/>
    <n v="3177"/>
    <n v="3168"/>
    <n v="4368"/>
    <s v="91.96573114395142"/>
    <s v="results/4/item_solutions/pi-13-1000-1000-001.kna_500000_1_items.csv"/>
  </r>
  <r>
    <s v="pi-13-1000-1000-001.kna"/>
    <x v="6"/>
    <x v="1"/>
    <n v="3177"/>
    <n v="3177"/>
    <n v="4797"/>
    <s v="116.95810294151306"/>
    <s v="results/4/item_solutions/pi-13-1000-1000-001.kna_500000_10_items.csv"/>
  </r>
  <r>
    <s v="pi-13-1000-1000-001.kna"/>
    <x v="6"/>
    <x v="2"/>
    <n v="3177"/>
    <n v="3170"/>
    <n v="4290"/>
    <s v="153.2516572475433"/>
    <s v="results/4/item_solutions/pi-13-1000-1000-001.kna_500000_15_items.csv"/>
  </r>
  <r>
    <s v="pi-13-1000-1000-001.kna"/>
    <x v="6"/>
    <x v="3"/>
    <n v="3177"/>
    <n v="3162"/>
    <n v="4602"/>
    <s v="122.16452932357788"/>
    <s v="results/4/item_solutions/pi-13-1000-1000-001.kna_500000_20_items.csv"/>
  </r>
  <r>
    <s v="pi-13-1000-1000-001.kna"/>
    <x v="6"/>
    <x v="4"/>
    <n v="3177"/>
    <n v="3162"/>
    <n v="4602"/>
    <s v="105.52127647399902"/>
    <s v="results/4/item_solutions/pi-13-1000-1000-001.kna_500000_5_items.csv"/>
  </r>
  <r>
    <s v="pi-13-1000-1000-001.kna"/>
    <x v="7"/>
    <x v="0"/>
    <n v="3177"/>
    <n v="3172"/>
    <n v="4212"/>
    <s v="10.728434085845947"/>
    <s v="results/4/item_solutions/pi-13-1000-1000-001.kna_50000_1_items.csv"/>
  </r>
  <r>
    <s v="pi-13-1000-1000-001.kna"/>
    <x v="7"/>
    <x v="1"/>
    <n v="3177"/>
    <n v="3164"/>
    <n v="4524"/>
    <s v="19.26606702804565"/>
    <s v="results/4/item_solutions/pi-13-1000-1000-001.kna_50000_10_items.csv"/>
  </r>
  <r>
    <s v="pi-13-1000-1000-001.kna"/>
    <x v="7"/>
    <x v="2"/>
    <n v="3177"/>
    <n v="3168"/>
    <n v="4368"/>
    <s v="13.209549903869627"/>
    <s v="results/4/item_solutions/pi-13-1000-1000-001.kna_50000_15_items.csv"/>
  </r>
  <r>
    <s v="pi-13-1000-1000-001.kna"/>
    <x v="7"/>
    <x v="3"/>
    <n v="3177"/>
    <n v="3160"/>
    <n v="4680"/>
    <s v="12.703364610671995"/>
    <s v="results/4/item_solutions/pi-13-1000-1000-001.kna_50000_20_items.csv"/>
  </r>
  <r>
    <s v="pi-13-1000-1000-001.kna"/>
    <x v="7"/>
    <x v="4"/>
    <n v="3177"/>
    <n v="3168"/>
    <n v="4368"/>
    <s v="11.212270259857178"/>
    <s v="results/4/item_solutions/pi-13-1000-1000-001.kna_50000_5_items.csv"/>
  </r>
  <r>
    <s v="pi-13-1000-1000-001.kna"/>
    <x v="8"/>
    <x v="0"/>
    <n v="3177"/>
    <n v="3176"/>
    <n v="4056"/>
    <s v="0.8491826057434082"/>
    <s v="results/4/item_solutions/pi-13-1000-1000-001.kna_5000_1_items.csv"/>
  </r>
  <r>
    <s v="pi-13-1000-1000-001.kna"/>
    <x v="8"/>
    <x v="1"/>
    <n v="3177"/>
    <n v="3162"/>
    <n v="4602"/>
    <s v="1.144317626953125"/>
    <s v="results/4/item_solutions/pi-13-1000-1000-001.kna_5000_10_items.csv"/>
  </r>
  <r>
    <s v="pi-13-1000-1000-001.kna"/>
    <x v="8"/>
    <x v="2"/>
    <n v="3177"/>
    <n v="3160"/>
    <n v="4680"/>
    <s v="1.1634976863861084"/>
    <s v="results/4/item_solutions/pi-13-1000-1000-001.kna_5000_15_items.csv"/>
  </r>
  <r>
    <s v="pi-13-1000-1000-001.kna"/>
    <x v="8"/>
    <x v="3"/>
    <n v="3177"/>
    <n v="3167"/>
    <n v="5187"/>
    <s v="1.4852991104125977"/>
    <s v="results/4/item_solutions/pi-13-1000-1000-001.kna_5000_20_items.csv"/>
  </r>
  <r>
    <s v="pi-13-1000-1000-001.kna"/>
    <x v="8"/>
    <x v="4"/>
    <n v="3177"/>
    <n v="3175"/>
    <n v="4875"/>
    <s v="1.546473503112793"/>
    <s v="results/4/item_solutions/pi-13-1000-1000-001.kna_5000_5_items.csv"/>
  </r>
  <r>
    <s v="pi-13-1000-1000-001.kna"/>
    <x v="9"/>
    <x v="0"/>
    <n v="3177"/>
    <n v="3164"/>
    <n v="4524"/>
    <s v="0.1047606468200683"/>
    <s v="results/4/item_solutions/pi-13-1000-1000-001.kna_500_1_items.csv"/>
  </r>
  <r>
    <s v="pi-13-1000-1000-001.kna"/>
    <x v="9"/>
    <x v="1"/>
    <n v="3177"/>
    <n v="3166"/>
    <n v="4446"/>
    <s v="0.1045200824737548"/>
    <s v="results/4/item_solutions/pi-13-1000-1000-001.kna_500_10_items.csv"/>
  </r>
  <r>
    <s v="pi-13-1000-1000-001.kna"/>
    <x v="9"/>
    <x v="2"/>
    <n v="3177"/>
    <n v="3164"/>
    <n v="4524"/>
    <s v="0.1419024467468261"/>
    <s v="results/4/item_solutions/pi-13-1000-1000-001.kna_500_15_items.csv"/>
  </r>
  <r>
    <s v="pi-13-1000-1000-001.kna"/>
    <x v="9"/>
    <x v="3"/>
    <n v="3177"/>
    <n v="3166"/>
    <n v="4446"/>
    <s v="0.1188380718231201"/>
    <s v="results/4/item_solutions/pi-13-1000-1000-001.kna_500_20_items.csv"/>
  </r>
  <r>
    <s v="pi-13-1000-1000-001.kna"/>
    <x v="9"/>
    <x v="4"/>
    <n v="3177"/>
    <n v="3172"/>
    <n v="4212"/>
    <s v="0.0968539714813232"/>
    <s v="results/4/item_solutions/pi-13-1000-1000-001.kna_500_5_items.csv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pi-13-10000-1000-001.kna"/>
    <x v="0"/>
    <x v="0"/>
    <n v="31234"/>
    <n v="31219"/>
    <n v="43719"/>
    <s v="6068.230341672897"/>
    <s v="results/5/item_solutions/pi-13-10000-1000-001.kna_1000000_1_items.csv"/>
  </r>
  <r>
    <s v="pi-13-10000-1000-001.kna"/>
    <x v="0"/>
    <x v="1"/>
    <n v="31234"/>
    <n v="31227"/>
    <n v="41847"/>
    <s v="5034.528251409531"/>
    <s v="results/5/item_solutions/pi-13-10000-1000-001.kna_1000000_10_items.csv"/>
  </r>
  <r>
    <s v="pi-13-10000-1000-001.kna"/>
    <x v="0"/>
    <x v="2"/>
    <n v="31234"/>
    <n v="31230"/>
    <n v="40950"/>
    <s v="4742.246073722839"/>
    <s v="results/5/item_solutions/pi-13-10000-1000-001.kna_1000000_15_items.csv"/>
  </r>
  <r>
    <s v="pi-13-10000-1000-001.kna"/>
    <x v="0"/>
    <x v="3"/>
    <n v="31234"/>
    <n v="31220"/>
    <n v="42900"/>
    <s v="7868.828242540359"/>
    <s v="results/5/item_solutions/pi-13-10000-1000-001.kna_1000000_20_items.csv"/>
  </r>
  <r>
    <s v="pi-13-10000-1000-001.kna"/>
    <x v="0"/>
    <x v="4"/>
    <n v="31234"/>
    <n v="31231"/>
    <n v="41691"/>
    <s v="5014.439626932144"/>
    <s v="results/5/item_solutions/pi-13-10000-1000-001.kna_1000000_5_items.csv"/>
  </r>
  <r>
    <s v="pi-13-10000-1000-001.kna"/>
    <x v="1"/>
    <x v="0"/>
    <n v="31234"/>
    <n v="31234"/>
    <n v="42354"/>
    <s v="557.7538487911224"/>
    <s v="results/5/item_solutions/pi-13-10000-1000-001.kna_100000_1_items.csv"/>
  </r>
  <r>
    <s v="pi-13-10000-1000-001.kna"/>
    <x v="1"/>
    <x v="1"/>
    <n v="31234"/>
    <n v="31228"/>
    <n v="42588"/>
    <s v="583.1314537525177"/>
    <s v="results/5/item_solutions/pi-13-10000-1000-001.kna_100000_10_items.csv"/>
  </r>
  <r>
    <s v="pi-13-10000-1000-001.kna"/>
    <x v="1"/>
    <x v="2"/>
    <n v="31234"/>
    <n v="31231"/>
    <n v="41691"/>
    <s v="558.3289268016815"/>
    <s v="results/5/item_solutions/pi-13-10000-1000-001.kna_100000_15_items.csv"/>
  </r>
  <r>
    <s v="pi-13-10000-1000-001.kna"/>
    <x v="1"/>
    <x v="3"/>
    <n v="31234"/>
    <n v="31230"/>
    <n v="42510"/>
    <s v="578.7687036991119"/>
    <s v="results/5/item_solutions/pi-13-10000-1000-001.kna_100000_20_items.csv"/>
  </r>
  <r>
    <s v="pi-13-10000-1000-001.kna"/>
    <x v="1"/>
    <x v="4"/>
    <n v="31234"/>
    <n v="31228"/>
    <n v="42588"/>
    <s v="532.3675606250763"/>
    <s v="results/5/item_solutions/pi-13-10000-1000-001.kna_100000_5_items.csv"/>
  </r>
  <r>
    <s v="pi-13-10000-1000-001.kna"/>
    <x v="2"/>
    <x v="0"/>
    <n v="31234"/>
    <n v="31223"/>
    <n v="42003"/>
    <s v="52.22916769981384"/>
    <s v="results/5/item_solutions/pi-13-10000-1000-001.kna_10000_1_items.csv"/>
  </r>
  <r>
    <s v="pi-13-10000-1000-001.kna"/>
    <x v="2"/>
    <x v="1"/>
    <n v="31234"/>
    <n v="31221"/>
    <n v="42081"/>
    <s v="54.34408187866211"/>
    <s v="results/5/item_solutions/pi-13-10000-1000-001.kna_10000_10_items.csv"/>
  </r>
  <r>
    <s v="pi-13-10000-1000-001.kna"/>
    <x v="2"/>
    <x v="2"/>
    <n v="31234"/>
    <n v="31222"/>
    <n v="42822"/>
    <s v="53.76449513435364"/>
    <s v="results/5/item_solutions/pi-13-10000-1000-001.kna_10000_15_items.csv"/>
  </r>
  <r>
    <s v="pi-13-10000-1000-001.kna"/>
    <x v="2"/>
    <x v="3"/>
    <n v="31234"/>
    <n v="31229"/>
    <n v="41769"/>
    <s v="53.449183225631714"/>
    <s v="results/5/item_solutions/pi-13-10000-1000-001.kna_10000_20_items.csv"/>
  </r>
  <r>
    <s v="pi-13-10000-1000-001.kna"/>
    <x v="2"/>
    <x v="4"/>
    <n v="31234"/>
    <n v="31234"/>
    <n v="42354"/>
    <s v="59.87151741981506"/>
    <s v="results/5/item_solutions/pi-13-10000-1000-001.kna_10000_5_items.csv"/>
  </r>
  <r>
    <s v="pi-13-10000-1000-001.kna"/>
    <x v="3"/>
    <x v="0"/>
    <n v="31234"/>
    <n v="31229"/>
    <n v="43329"/>
    <s v="6.006444454193115"/>
    <s v="results/5/item_solutions/pi-13-10000-1000-001.kna_1000_1_items.csv"/>
  </r>
  <r>
    <s v="pi-13-10000-1000-001.kna"/>
    <x v="3"/>
    <x v="1"/>
    <n v="31234"/>
    <n v="31227"/>
    <n v="43407"/>
    <s v="6.332886934280396"/>
    <s v="results/5/item_solutions/pi-13-10000-1000-001.kna_1000_10_items.csv"/>
  </r>
  <r>
    <s v="pi-13-10000-1000-001.kna"/>
    <x v="3"/>
    <x v="2"/>
    <n v="31234"/>
    <n v="31227"/>
    <n v="41847"/>
    <s v="5.361091375350952"/>
    <s v="results/5/item_solutions/pi-13-10000-1000-001.kna_1000_15_items.csv"/>
  </r>
  <r>
    <s v="pi-13-10000-1000-001.kna"/>
    <x v="3"/>
    <x v="3"/>
    <n v="31234"/>
    <n v="31234"/>
    <n v="42354"/>
    <s v="6.566510677337647"/>
    <s v="results/5/item_solutions/pi-13-10000-1000-001.kna_1000_20_items.csv"/>
  </r>
  <r>
    <s v="pi-13-10000-1000-001.kna"/>
    <x v="3"/>
    <x v="4"/>
    <n v="31234"/>
    <n v="31229"/>
    <n v="43329"/>
    <s v="7.32965350151062"/>
    <s v="results/5/item_solutions/pi-13-10000-1000-001.kna_1000_5_items.csv"/>
  </r>
  <r>
    <s v="pi-13-10000-1000-001.kna"/>
    <x v="4"/>
    <x v="0"/>
    <n v="31234"/>
    <n v="31222"/>
    <n v="41262"/>
    <s v="0.5633025169372559"/>
    <s v="results/5/item_solutions/pi-13-10000-1000-001.kna_100_1_items.csv"/>
  </r>
  <r>
    <s v="pi-13-10000-1000-001.kna"/>
    <x v="4"/>
    <x v="1"/>
    <n v="31234"/>
    <n v="31219"/>
    <n v="42159"/>
    <s v="0.6849725246429443"/>
    <s v="results/5/item_solutions/pi-13-10000-1000-001.kna_100_10_items.csv"/>
  </r>
  <r>
    <s v="pi-13-10000-1000-001.kna"/>
    <x v="4"/>
    <x v="2"/>
    <n v="31234"/>
    <n v="31229"/>
    <n v="41769"/>
    <s v="0.6006796360015869"/>
    <s v="results/5/item_solutions/pi-13-10000-1000-001.kna_100_15_items.csv"/>
  </r>
  <r>
    <s v="pi-13-10000-1000-001.kna"/>
    <x v="4"/>
    <x v="3"/>
    <n v="31234"/>
    <n v="31221"/>
    <n v="42081"/>
    <s v="0.6182653903961182"/>
    <s v="results/5/item_solutions/pi-13-10000-1000-001.kna_100_20_items.csv"/>
  </r>
  <r>
    <s v="pi-13-10000-1000-001.kna"/>
    <x v="4"/>
    <x v="4"/>
    <n v="31234"/>
    <n v="31227"/>
    <n v="41847"/>
    <s v="0.5578701496124268"/>
    <s v="results/5/item_solutions/pi-13-10000-1000-001.kna_100_5_items.csv"/>
  </r>
  <r>
    <s v="pi-13-10000-1000-001.kna"/>
    <x v="5"/>
    <x v="0"/>
    <n v="31234"/>
    <n v="31227"/>
    <n v="41847"/>
    <s v="0.093069314956665"/>
    <s v="results/5/item_solutions/pi-13-10000-1000-001.kna_10_1_items.csv"/>
  </r>
  <r>
    <s v="pi-13-10000-1000-001.kna"/>
    <x v="5"/>
    <x v="1"/>
    <n v="31234"/>
    <n v="31219"/>
    <n v="42159"/>
    <s v="0.1097776889801025"/>
    <s v="results/5/item_solutions/pi-13-10000-1000-001.kna_10_10_items.csv"/>
  </r>
  <r>
    <s v="pi-13-10000-1000-001.kna"/>
    <x v="5"/>
    <x v="2"/>
    <n v="31234"/>
    <n v="31232"/>
    <n v="42432"/>
    <s v="0.0545845031738281"/>
    <s v="results/5/item_solutions/pi-13-10000-1000-001.kna_10_15_items.csv"/>
  </r>
  <r>
    <s v="pi-13-10000-1000-001.kna"/>
    <x v="5"/>
    <x v="3"/>
    <n v="31234"/>
    <n v="31232"/>
    <n v="42432"/>
    <s v="0.0976009368896484"/>
    <s v="results/5/item_solutions/pi-13-10000-1000-001.kna_10_20_items.csv"/>
  </r>
  <r>
    <s v="pi-13-10000-1000-001.kna"/>
    <x v="5"/>
    <x v="4"/>
    <n v="31234"/>
    <n v="31229"/>
    <n v="41769"/>
    <s v="0.09515380859375"/>
    <s v="results/5/item_solutions/pi-13-10000-1000-001.kna_10_5_items.csv"/>
  </r>
  <r>
    <s v="pi-13-10000-1000-001.kna"/>
    <x v="6"/>
    <x v="0"/>
    <n v="31234"/>
    <n v="31226"/>
    <n v="42666"/>
    <s v="2842.2148604393005"/>
    <s v="results/5/item_solutions/pi-13-10000-1000-001.kna_500000_1_items.csv"/>
  </r>
  <r>
    <s v="pi-13-10000-1000-001.kna"/>
    <x v="6"/>
    <x v="1"/>
    <n v="31234"/>
    <n v="31217"/>
    <n v="42237"/>
    <s v="2475.456614971161"/>
    <s v="results/5/item_solutions/pi-13-10000-1000-001.kna_500000_10_items.csv"/>
  </r>
  <r>
    <s v="pi-13-10000-1000-001.kna"/>
    <x v="6"/>
    <x v="2"/>
    <n v="31234"/>
    <n v="31228"/>
    <n v="42588"/>
    <s v="2678.832438707352"/>
    <s v="results/5/item_solutions/pi-13-10000-1000-001.kna_500000_15_items.csv"/>
  </r>
  <r>
    <s v="pi-13-10000-1000-001.kna"/>
    <x v="6"/>
    <x v="3"/>
    <n v="31234"/>
    <n v="31221"/>
    <n v="40521"/>
    <s v="2342.182863473892"/>
    <s v="results/5/item_solutions/pi-13-10000-1000-001.kna_500000_20_items.csv"/>
  </r>
  <r>
    <s v="pi-13-10000-1000-001.kna"/>
    <x v="6"/>
    <x v="4"/>
    <n v="31234"/>
    <n v="31224"/>
    <n v="41184"/>
    <s v="2451.188381910324"/>
    <s v="results/5/item_solutions/pi-13-10000-1000-001.kna_500000_5_items.csv"/>
  </r>
  <r>
    <s v="pi-13-10000-1000-001.kna"/>
    <x v="7"/>
    <x v="0"/>
    <n v="31234"/>
    <n v="31227"/>
    <n v="43407"/>
    <s v="292.003933429718"/>
    <s v="results/5/item_solutions/pi-13-10000-1000-001.kna_50000_1_items.csv"/>
  </r>
  <r>
    <s v="pi-13-10000-1000-001.kna"/>
    <x v="7"/>
    <x v="1"/>
    <n v="31234"/>
    <n v="31227"/>
    <n v="41847"/>
    <s v="268.2838537693024"/>
    <s v="results/5/item_solutions/pi-13-10000-1000-001.kna_50000_10_items.csv"/>
  </r>
  <r>
    <s v="pi-13-10000-1000-001.kna"/>
    <x v="7"/>
    <x v="2"/>
    <n v="31234"/>
    <n v="31231"/>
    <n v="41691"/>
    <s v="263.2959268093109"/>
    <s v="results/5/item_solutions/pi-13-10000-1000-001.kna_50000_15_items.csv"/>
  </r>
  <r>
    <s v="pi-13-10000-1000-001.kna"/>
    <x v="7"/>
    <x v="3"/>
    <n v="31234"/>
    <n v="31234"/>
    <n v="42354"/>
    <s v="289.8580837249756"/>
    <s v="results/5/item_solutions/pi-13-10000-1000-001.kna_50000_20_items.csv"/>
  </r>
  <r>
    <s v="pi-13-10000-1000-001.kna"/>
    <x v="7"/>
    <x v="4"/>
    <n v="31234"/>
    <n v="31219"/>
    <n v="42159"/>
    <s v="268.6903238296509"/>
    <s v="results/5/item_solutions/pi-13-10000-1000-001.kna_50000_5_items.csv"/>
  </r>
  <r>
    <s v="pi-13-10000-1000-001.kna"/>
    <x v="8"/>
    <x v="0"/>
    <n v="31234"/>
    <n v="31223"/>
    <n v="42003"/>
    <s v="26.489049434661865"/>
    <s v="results/5/item_solutions/pi-13-10000-1000-001.kna_5000_1_items.csv"/>
  </r>
  <r>
    <s v="pi-13-10000-1000-001.kna"/>
    <x v="8"/>
    <x v="1"/>
    <n v="31234"/>
    <n v="31218"/>
    <n v="42978"/>
    <s v="29.294591426849365"/>
    <s v="results/5/item_solutions/pi-13-10000-1000-001.kna_5000_10_items.csv"/>
  </r>
  <r>
    <s v="pi-13-10000-1000-001.kna"/>
    <x v="8"/>
    <x v="2"/>
    <n v="31234"/>
    <n v="31229"/>
    <n v="41769"/>
    <s v="24.425600051879883"/>
    <s v="results/5/item_solutions/pi-13-10000-1000-001.kna_5000_15_items.csv"/>
  </r>
  <r>
    <s v="pi-13-10000-1000-001.kna"/>
    <x v="8"/>
    <x v="3"/>
    <n v="31234"/>
    <n v="31231"/>
    <n v="43251"/>
    <s v="28.06373691558838"/>
    <s v="results/5/item_solutions/pi-13-10000-1000-001.kna_5000_20_items.csv"/>
  </r>
  <r>
    <s v="pi-13-10000-1000-001.kna"/>
    <x v="8"/>
    <x v="4"/>
    <n v="31234"/>
    <n v="31219"/>
    <n v="42159"/>
    <s v="28.366127729415894"/>
    <s v="results/5/item_solutions/pi-13-10000-1000-001.kna_5000_5_items.csv"/>
  </r>
  <r>
    <s v="pi-13-10000-1000-001.kna"/>
    <x v="9"/>
    <x v="0"/>
    <n v="31234"/>
    <n v="31226"/>
    <n v="42666"/>
    <s v="2.807817220687866"/>
    <s v="results/5/item_solutions/pi-13-10000-1000-001.kna_500_1_items.csv"/>
  </r>
  <r>
    <s v="pi-13-10000-1000-001.kna"/>
    <x v="9"/>
    <x v="1"/>
    <n v="31234"/>
    <n v="31221"/>
    <n v="42081"/>
    <s v="2.935723066329956"/>
    <s v="results/5/item_solutions/pi-13-10000-1000-001.kna_500_10_items.csv"/>
  </r>
  <r>
    <s v="pi-13-10000-1000-001.kna"/>
    <x v="9"/>
    <x v="2"/>
    <n v="31234"/>
    <n v="31224"/>
    <n v="41184"/>
    <s v="3.048744201660156"/>
    <s v="results/5/item_solutions/pi-13-10000-1000-001.kna_500_15_items.csv"/>
  </r>
  <r>
    <s v="pi-13-10000-1000-001.kna"/>
    <x v="9"/>
    <x v="3"/>
    <n v="31234"/>
    <n v="31223"/>
    <n v="43563"/>
    <s v="3.191494941711426"/>
    <s v="results/5/item_solutions/pi-13-10000-1000-001.kna_500_20_items.csv"/>
  </r>
  <r>
    <s v="pi-13-10000-1000-001.kna"/>
    <x v="9"/>
    <x v="4"/>
    <n v="31234"/>
    <n v="31227"/>
    <n v="43407"/>
    <s v="3.194854974746704"/>
    <s v="results/5/item_solutions/pi-13-10000-1000-001.kna_500_5_items.csv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pi-15-100-1000-001.kna"/>
    <x v="0"/>
    <x v="0"/>
    <n v="997"/>
    <n v="993"/>
    <n v="996"/>
    <s v="25.08297324180603"/>
    <s v="results/6/item_solutions/pi-15-100-1000-001.kna_1000000_1_items.csv"/>
  </r>
  <r>
    <s v="pi-15-100-1000-001.kna"/>
    <x v="0"/>
    <x v="1"/>
    <n v="997"/>
    <n v="996"/>
    <n v="1002"/>
    <s v="27.31738877296448"/>
    <s v="results/6/item_solutions/pi-15-100-1000-001.kna_1000000_10_items.csv"/>
  </r>
  <r>
    <s v="pi-15-100-1000-001.kna"/>
    <x v="0"/>
    <x v="2"/>
    <n v="997"/>
    <n v="997"/>
    <n v="1002"/>
    <s v="0.0010015964508056"/>
    <s v="results/6/item_solutions/pi-15-100-1000-001.kna_1000000_15_items.csv"/>
  </r>
  <r>
    <s v="pi-15-100-1000-001.kna"/>
    <x v="0"/>
    <x v="3"/>
    <n v="997"/>
    <n v="996"/>
    <n v="1005"/>
    <s v="30.57844567298889"/>
    <s v="results/6/item_solutions/pi-15-100-1000-001.kna_1000000_20_items.csv"/>
  </r>
  <r>
    <s v="pi-15-100-1000-001.kna"/>
    <x v="0"/>
    <x v="4"/>
    <n v="997"/>
    <n v="997"/>
    <n v="999"/>
    <s v="0.0"/>
    <s v="results/6/item_solutions/pi-15-100-1000-001.kna_1000000_5_items.csv"/>
  </r>
  <r>
    <s v="pi-15-100-1000-001.kna"/>
    <x v="1"/>
    <x v="0"/>
    <n v="997"/>
    <n v="994"/>
    <n v="999"/>
    <s v="2.024815082550049"/>
    <s v="results/6/item_solutions/pi-15-100-1000-001.kna_100000_1_items.csv"/>
  </r>
  <r>
    <s v="pi-15-100-1000-001.kna"/>
    <x v="1"/>
    <x v="1"/>
    <n v="997"/>
    <n v="997"/>
    <n v="1005"/>
    <s v="2.3029093742370605"/>
    <s v="results/6/item_solutions/pi-15-100-1000-001.kna_100000_10_items.csv"/>
  </r>
  <r>
    <s v="pi-15-100-1000-001.kna"/>
    <x v="1"/>
    <x v="2"/>
    <n v="997"/>
    <n v="993"/>
    <n v="999"/>
    <s v="0.0011501312255859"/>
    <s v="results/6/item_solutions/pi-15-100-1000-001.kna_100000_15_items.csv"/>
  </r>
  <r>
    <s v="pi-15-100-1000-001.kna"/>
    <x v="1"/>
    <x v="3"/>
    <n v="997"/>
    <n v="994"/>
    <n v="996"/>
    <s v="0.0"/>
    <s v="results/6/item_solutions/pi-15-100-1000-001.kna_100000_20_items.csv"/>
  </r>
  <r>
    <s v="pi-15-100-1000-001.kna"/>
    <x v="1"/>
    <x v="4"/>
    <n v="997"/>
    <n v="993"/>
    <n v="996"/>
    <s v="2.5946192741394043"/>
    <s v="results/6/item_solutions/pi-15-100-1000-001.kna_100000_5_items.csv"/>
  </r>
  <r>
    <s v="pi-15-100-1000-001.kna"/>
    <x v="2"/>
    <x v="0"/>
    <n v="997"/>
    <n v="996"/>
    <n v="999"/>
    <s v="0.2710018157958984"/>
    <s v="results/6/item_solutions/pi-15-100-1000-001.kna_10000_1_items.csv"/>
  </r>
  <r>
    <s v="pi-15-100-1000-001.kna"/>
    <x v="2"/>
    <x v="1"/>
    <n v="997"/>
    <n v="996"/>
    <n v="1002"/>
    <s v="0.0"/>
    <s v="results/6/item_solutions/pi-15-100-1000-001.kna_10000_10_items.csv"/>
  </r>
  <r>
    <s v="pi-15-100-1000-001.kna"/>
    <x v="2"/>
    <x v="2"/>
    <n v="997"/>
    <n v="994"/>
    <n v="999"/>
    <s v="0.0"/>
    <s v="results/6/item_solutions/pi-15-100-1000-001.kna_10000_15_items.csv"/>
  </r>
  <r>
    <s v="pi-15-100-1000-001.kna"/>
    <x v="2"/>
    <x v="3"/>
    <n v="997"/>
    <n v="996"/>
    <n v="999"/>
    <s v="0.0"/>
    <s v="results/6/item_solutions/pi-15-100-1000-001.kna_10000_20_items.csv"/>
  </r>
  <r>
    <s v="pi-15-100-1000-001.kna"/>
    <x v="2"/>
    <x v="4"/>
    <n v="997"/>
    <n v="997"/>
    <n v="1002"/>
    <s v="0.2401096820831298"/>
    <s v="results/6/item_solutions/pi-15-100-1000-001.kna_10000_5_items.csv"/>
  </r>
  <r>
    <s v="pi-15-100-1000-001.kna"/>
    <x v="3"/>
    <x v="0"/>
    <n v="997"/>
    <n v="997"/>
    <n v="1002"/>
    <s v="0.022475242614746"/>
    <s v="results/6/item_solutions/pi-15-100-1000-001.kna_1000_1_items.csv"/>
  </r>
  <r>
    <s v="pi-15-100-1000-001.kna"/>
    <x v="3"/>
    <x v="1"/>
    <n v="997"/>
    <n v="997"/>
    <n v="1002"/>
    <s v="0.0704486370086669"/>
    <s v="results/6/item_solutions/pi-15-100-1000-001.kna_1000_10_items.csv"/>
  </r>
  <r>
    <s v="pi-15-100-1000-001.kna"/>
    <x v="3"/>
    <x v="2"/>
    <n v="997"/>
    <n v="996"/>
    <n v="1002"/>
    <s v="0.0059611797332763"/>
    <s v="results/6/item_solutions/pi-15-100-1000-001.kna_1000_15_items.csv"/>
  </r>
  <r>
    <s v="pi-15-100-1000-001.kna"/>
    <x v="3"/>
    <x v="3"/>
    <n v="997"/>
    <n v="997"/>
    <n v="1002"/>
    <s v="0.0011894702911376"/>
    <s v="results/6/item_solutions/pi-15-100-1000-001.kna_1000_20_items.csv"/>
  </r>
  <r>
    <s v="pi-15-100-1000-001.kna"/>
    <x v="3"/>
    <x v="4"/>
    <n v="997"/>
    <n v="995"/>
    <n v="1002"/>
    <s v="0.0569989681243896"/>
    <s v="results/6/item_solutions/pi-15-100-1000-001.kna_1000_5_items.csv"/>
  </r>
  <r>
    <s v="pi-15-100-1000-001.kna"/>
    <x v="4"/>
    <x v="0"/>
    <n v="997"/>
    <n v="996"/>
    <n v="999"/>
    <s v="0.0022072792053222"/>
    <s v="results/6/item_solutions/pi-15-100-1000-001.kna_100_1_items.csv"/>
  </r>
  <r>
    <s v="pi-15-100-1000-001.kna"/>
    <x v="4"/>
    <x v="1"/>
    <n v="997"/>
    <n v="992"/>
    <n v="996"/>
    <s v="0.0009975433349609"/>
    <s v="results/6/item_solutions/pi-15-100-1000-001.kna_100_10_items.csv"/>
  </r>
  <r>
    <s v="pi-15-100-1000-001.kna"/>
    <x v="4"/>
    <x v="2"/>
    <n v="997"/>
    <n v="997"/>
    <n v="999"/>
    <s v="0.0011262893676757"/>
    <s v="results/6/item_solutions/pi-15-100-1000-001.kna_100_15_items.csv"/>
  </r>
  <r>
    <s v="pi-15-100-1000-001.kna"/>
    <x v="4"/>
    <x v="3"/>
    <n v="997"/>
    <n v="997"/>
    <n v="1002"/>
    <s v="0.0020322799682617"/>
    <s v="results/6/item_solutions/pi-15-100-1000-001.kna_100_20_items.csv"/>
  </r>
  <r>
    <s v="pi-15-100-1000-001.kna"/>
    <x v="4"/>
    <x v="4"/>
    <n v="997"/>
    <n v="996"/>
    <n v="999"/>
    <s v="0.003223180770874"/>
    <s v="results/6/item_solutions/pi-15-100-1000-001.kna_100_5_items.csv"/>
  </r>
  <r>
    <s v="pi-15-100-1000-001.kna"/>
    <x v="5"/>
    <x v="0"/>
    <n v="997"/>
    <n v="996"/>
    <n v="999"/>
    <s v="0.0"/>
    <s v="results/6/item_solutions/pi-15-100-1000-001.kna_10_1_items.csv"/>
  </r>
  <r>
    <s v="pi-15-100-1000-001.kna"/>
    <x v="5"/>
    <x v="1"/>
    <n v="997"/>
    <n v="996"/>
    <n v="999"/>
    <s v="0.0"/>
    <s v="results/6/item_solutions/pi-15-100-1000-001.kna_10_10_items.csv"/>
  </r>
  <r>
    <s v="pi-15-100-1000-001.kna"/>
    <x v="5"/>
    <x v="2"/>
    <n v="997"/>
    <n v="997"/>
    <n v="999"/>
    <s v="0.0"/>
    <s v="results/6/item_solutions/pi-15-100-1000-001.kna_10_15_items.csv"/>
  </r>
  <r>
    <s v="pi-15-100-1000-001.kna"/>
    <x v="5"/>
    <x v="3"/>
    <n v="997"/>
    <n v="995"/>
    <n v="996"/>
    <s v="0.0"/>
    <s v="results/6/item_solutions/pi-15-100-1000-001.kna_10_20_items.csv"/>
  </r>
  <r>
    <s v="pi-15-100-1000-001.kna"/>
    <x v="5"/>
    <x v="4"/>
    <n v="997"/>
    <n v="997"/>
    <n v="1002"/>
    <s v="0.0009987354278564"/>
    <s v="results/6/item_solutions/pi-15-100-1000-001.kna_10_5_items.csv"/>
  </r>
  <r>
    <s v="pi-15-100-1000-001.kna"/>
    <x v="6"/>
    <x v="0"/>
    <n v="997"/>
    <n v="997"/>
    <n v="1002"/>
    <s v="9.213356018066406"/>
    <s v="results/6/item_solutions/pi-15-100-1000-001.kna_500000_1_items.csv"/>
  </r>
  <r>
    <s v="pi-15-100-1000-001.kna"/>
    <x v="6"/>
    <x v="1"/>
    <n v="997"/>
    <n v="997"/>
    <n v="999"/>
    <s v="11.2207989692688"/>
    <s v="results/6/item_solutions/pi-15-100-1000-001.kna_500000_10_items.csv"/>
  </r>
  <r>
    <s v="pi-15-100-1000-001.kna"/>
    <x v="6"/>
    <x v="2"/>
    <n v="997"/>
    <n v="997"/>
    <n v="999"/>
    <s v="0.0"/>
    <s v="results/6/item_solutions/pi-15-100-1000-001.kna_500000_15_items.csv"/>
  </r>
  <r>
    <s v="pi-15-100-1000-001.kna"/>
    <x v="6"/>
    <x v="3"/>
    <n v="997"/>
    <n v="993"/>
    <n v="1002"/>
    <s v="0.0010035037994384"/>
    <s v="results/6/item_solutions/pi-15-100-1000-001.kna_500000_20_items.csv"/>
  </r>
  <r>
    <s v="pi-15-100-1000-001.kna"/>
    <x v="6"/>
    <x v="4"/>
    <n v="997"/>
    <n v="995"/>
    <n v="999"/>
    <s v="13.503843545913696"/>
    <s v="results/6/item_solutions/pi-15-100-1000-001.kna_500000_5_items.csv"/>
  </r>
  <r>
    <s v="pi-15-100-1000-001.kna"/>
    <x v="7"/>
    <x v="0"/>
    <n v="997"/>
    <n v="995"/>
    <n v="999"/>
    <s v="1.133643627166748"/>
    <s v="results/6/item_solutions/pi-15-100-1000-001.kna_50000_1_items.csv"/>
  </r>
  <r>
    <s v="pi-15-100-1000-001.kna"/>
    <x v="7"/>
    <x v="1"/>
    <n v="997"/>
    <n v="996"/>
    <n v="1002"/>
    <s v="0.0"/>
    <s v="results/6/item_solutions/pi-15-100-1000-001.kna_50000_10_items.csv"/>
  </r>
  <r>
    <s v="pi-15-100-1000-001.kna"/>
    <x v="7"/>
    <x v="2"/>
    <n v="997"/>
    <n v="991"/>
    <n v="993"/>
    <s v="0.0"/>
    <s v="results/6/item_solutions/pi-15-100-1000-001.kna_50000_15_items.csv"/>
  </r>
  <r>
    <s v="pi-15-100-1000-001.kna"/>
    <x v="7"/>
    <x v="3"/>
    <n v="997"/>
    <n v="996"/>
    <n v="1002"/>
    <s v="0.0009932518005371"/>
    <s v="results/6/item_solutions/pi-15-100-1000-001.kna_50000_20_items.csv"/>
  </r>
  <r>
    <s v="pi-15-100-1000-001.kna"/>
    <x v="7"/>
    <x v="4"/>
    <n v="997"/>
    <n v="992"/>
    <n v="996"/>
    <s v="1.3236515522003174"/>
    <s v="results/6/item_solutions/pi-15-100-1000-001.kna_50000_5_items.csv"/>
  </r>
  <r>
    <s v="pi-15-100-1000-001.kna"/>
    <x v="8"/>
    <x v="0"/>
    <n v="997"/>
    <n v="990"/>
    <n v="996"/>
    <s v="0.1482863426208496"/>
    <s v="results/6/item_solutions/pi-15-100-1000-001.kna_5000_1_items.csv"/>
  </r>
  <r>
    <s v="pi-15-100-1000-001.kna"/>
    <x v="8"/>
    <x v="1"/>
    <n v="997"/>
    <n v="997"/>
    <n v="1002"/>
    <s v="0.0010020732879638"/>
    <s v="results/6/item_solutions/pi-15-100-1000-001.kna_5000_10_items.csv"/>
  </r>
  <r>
    <s v="pi-15-100-1000-001.kna"/>
    <x v="8"/>
    <x v="2"/>
    <n v="997"/>
    <n v="993"/>
    <n v="996"/>
    <s v="0.1230976581573486"/>
    <s v="results/6/item_solutions/pi-15-100-1000-001.kna_5000_15_items.csv"/>
  </r>
  <r>
    <s v="pi-15-100-1000-001.kna"/>
    <x v="8"/>
    <x v="3"/>
    <n v="997"/>
    <n v="997"/>
    <n v="1002"/>
    <s v="0.0"/>
    <s v="results/6/item_solutions/pi-15-100-1000-001.kna_5000_20_items.csv"/>
  </r>
  <r>
    <s v="pi-15-100-1000-001.kna"/>
    <x v="8"/>
    <x v="4"/>
    <n v="997"/>
    <n v="997"/>
    <n v="1002"/>
    <s v="0.1226646900177002"/>
    <s v="results/6/item_solutions/pi-15-100-1000-001.kna_5000_5_items.csv"/>
  </r>
  <r>
    <s v="pi-15-100-1000-001.kna"/>
    <x v="9"/>
    <x v="0"/>
    <n v="997"/>
    <n v="991"/>
    <n v="999"/>
    <s v="0.0110347270965576"/>
    <s v="results/6/item_solutions/pi-15-100-1000-001.kna_500_1_items.csv"/>
  </r>
  <r>
    <s v="pi-15-100-1000-001.kna"/>
    <x v="9"/>
    <x v="1"/>
    <n v="997"/>
    <n v="997"/>
    <n v="999"/>
    <s v="0.0"/>
    <s v="results/6/item_solutions/pi-15-100-1000-001.kna_500_10_items.csv"/>
  </r>
  <r>
    <s v="pi-15-100-1000-001.kna"/>
    <x v="9"/>
    <x v="2"/>
    <n v="997"/>
    <n v="994"/>
    <n v="996"/>
    <s v="0.0"/>
    <s v="results/6/item_solutions/pi-15-100-1000-001.kna_500_15_items.csv"/>
  </r>
  <r>
    <s v="pi-15-100-1000-001.kna"/>
    <x v="9"/>
    <x v="3"/>
    <n v="997"/>
    <n v="994"/>
    <n v="999"/>
    <s v="0.0011188983917236"/>
    <s v="results/6/item_solutions/pi-15-100-1000-001.kna_500_20_items.csv"/>
  </r>
  <r>
    <s v="pi-15-100-1000-001.kna"/>
    <x v="9"/>
    <x v="4"/>
    <n v="997"/>
    <n v="992"/>
    <n v="996"/>
    <s v="0.0122559070587158"/>
    <s v="results/6/item_solutions/pi-15-100-1000-001.kna_500_5_items.csv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pi-15-1000-1000-001.kna"/>
    <x v="0"/>
    <x v="0"/>
    <n v="4816"/>
    <n v="4816"/>
    <n v="4824"/>
    <s v="203.32465648651123"/>
    <s v="results/7/item_solutions/pi-15-1000-1000-001.kna_1000000_1_items.csv"/>
    <n v="203.324656486511"/>
  </r>
  <r>
    <s v="pi-15-1000-1000-001.kna"/>
    <x v="0"/>
    <x v="1"/>
    <n v="4816"/>
    <n v="4816"/>
    <n v="4830"/>
    <s v="290.2636785507202"/>
    <s v="results/7/item_solutions/pi-15-1000-1000-001.kna_1000000_10_items.csv"/>
    <n v="290.26367855071999"/>
  </r>
  <r>
    <s v="pi-15-1000-1000-001.kna"/>
    <x v="0"/>
    <x v="2"/>
    <n v="4816"/>
    <n v="4816"/>
    <n v="4833"/>
    <s v="307.62469387054443"/>
    <s v="results/7/item_solutions/pi-15-1000-1000-001.kna_1000000_15_items.csv"/>
    <n v="307.62469387054398"/>
  </r>
  <r>
    <s v="pi-15-1000-1000-001.kna"/>
    <x v="0"/>
    <x v="3"/>
    <n v="4816"/>
    <n v="4816"/>
    <n v="4836"/>
    <s v="544.3862988948822"/>
    <s v="results/7/item_solutions/pi-15-1000-1000-001.kna_1000000_20_items.csv"/>
    <n v="544.38629889488197"/>
  </r>
  <r>
    <s v="pi-15-1000-1000-001.kna"/>
    <x v="0"/>
    <x v="4"/>
    <n v="4816"/>
    <n v="4816"/>
    <n v="4830"/>
    <s v="203.84227848052976"/>
    <s v="results/7/item_solutions/pi-15-1000-1000-001.kna_1000000_5_items.csv"/>
    <n v="203.84227848052899"/>
  </r>
  <r>
    <s v="pi-15-1000-1000-001.kna"/>
    <x v="1"/>
    <x v="0"/>
    <n v="4816"/>
    <n v="4816"/>
    <n v="4833"/>
    <s v="27.54857468605041"/>
    <s v="results/7/item_solutions/pi-15-1000-1000-001.kna_100000_1_items.csv"/>
    <n v="27.548574686050401"/>
  </r>
  <r>
    <s v="pi-15-1000-1000-001.kna"/>
    <x v="1"/>
    <x v="1"/>
    <n v="4816"/>
    <n v="4816"/>
    <n v="4830"/>
    <s v="18.858500719070435"/>
    <s v="results/7/item_solutions/pi-15-1000-1000-001.kna_100000_10_items.csv"/>
    <n v="18.858500719070399"/>
  </r>
  <r>
    <s v="pi-15-1000-1000-001.kna"/>
    <x v="1"/>
    <x v="2"/>
    <n v="4816"/>
    <n v="4816"/>
    <n v="4830"/>
    <s v="19.863989114761356"/>
    <s v="results/7/item_solutions/pi-15-1000-1000-001.kna_100000_15_items.csv"/>
    <n v="19.863989114761299"/>
  </r>
  <r>
    <s v="pi-15-1000-1000-001.kna"/>
    <x v="1"/>
    <x v="3"/>
    <n v="4816"/>
    <n v="4816"/>
    <n v="4830"/>
    <s v="19.96979331970215"/>
    <s v="results/7/item_solutions/pi-15-1000-1000-001.kna_100000_20_items.csv"/>
    <n v="19.969793319702099"/>
  </r>
  <r>
    <s v="pi-15-1000-1000-001.kna"/>
    <x v="1"/>
    <x v="4"/>
    <n v="4816"/>
    <n v="4816"/>
    <n v="4830"/>
    <s v="21.15812420845032"/>
    <s v="results/7/item_solutions/pi-15-1000-1000-001.kna_100000_5_items.csv"/>
    <n v="21.1581242084503"/>
  </r>
  <r>
    <s v="pi-15-1000-1000-001.kna"/>
    <x v="2"/>
    <x v="0"/>
    <n v="4816"/>
    <n v="4816"/>
    <n v="4833"/>
    <s v="1.90394139289856"/>
    <s v="results/7/item_solutions/pi-15-1000-1000-001.kna_10000_1_items.csv"/>
    <n v="1.90394139289856"/>
  </r>
  <r>
    <s v="pi-15-1000-1000-001.kna"/>
    <x v="2"/>
    <x v="1"/>
    <n v="4816"/>
    <n v="4816"/>
    <n v="4830"/>
    <s v="2.185003757476806"/>
    <s v="results/7/item_solutions/pi-15-1000-1000-001.kna_10000_10_items.csv"/>
    <n v="2.1850037574768"/>
  </r>
  <r>
    <s v="pi-15-1000-1000-001.kna"/>
    <x v="2"/>
    <x v="2"/>
    <n v="4816"/>
    <n v="4816"/>
    <n v="4830"/>
    <s v="1.911301612854004"/>
    <s v="results/7/item_solutions/pi-15-1000-1000-001.kna_10000_15_items.csv"/>
    <n v="1.9113016128539999"/>
  </r>
  <r>
    <s v="pi-15-1000-1000-001.kna"/>
    <x v="2"/>
    <x v="3"/>
    <n v="4816"/>
    <n v="4815"/>
    <n v="4833"/>
    <s v="1.976616382598877"/>
    <s v="results/7/item_solutions/pi-15-1000-1000-001.kna_10000_20_items.csv"/>
    <n v="1.9766163825988701"/>
  </r>
  <r>
    <s v="pi-15-1000-1000-001.kna"/>
    <x v="2"/>
    <x v="4"/>
    <n v="4816"/>
    <n v="4816"/>
    <n v="4833"/>
    <s v="1.947871446609497"/>
    <s v="results/7/item_solutions/pi-15-1000-1000-001.kna_10000_5_items.csv"/>
    <n v="1.94787144660949"/>
  </r>
  <r>
    <s v="pi-15-1000-1000-001.kna"/>
    <x v="3"/>
    <x v="0"/>
    <n v="4816"/>
    <n v="4816"/>
    <n v="4833"/>
    <s v="0.1953358650207519"/>
    <s v="results/7/item_solutions/pi-15-1000-1000-001.kna_1000_1_items.csv"/>
    <n v="0.19533586502075101"/>
  </r>
  <r>
    <s v="pi-15-1000-1000-001.kna"/>
    <x v="3"/>
    <x v="1"/>
    <n v="4816"/>
    <n v="4816"/>
    <n v="4827"/>
    <s v="0.205127477645874"/>
    <s v="results/7/item_solutions/pi-15-1000-1000-001.kna_1000_10_items.csv"/>
    <n v="0.205127477645874"/>
  </r>
  <r>
    <s v="pi-15-1000-1000-001.kna"/>
    <x v="3"/>
    <x v="2"/>
    <n v="4816"/>
    <n v="4816"/>
    <n v="4839"/>
    <s v="0.2187850475311279"/>
    <s v="results/7/item_solutions/pi-15-1000-1000-001.kna_1000_15_items.csv"/>
    <n v="0.21878504753112701"/>
  </r>
  <r>
    <s v="pi-15-1000-1000-001.kna"/>
    <x v="3"/>
    <x v="3"/>
    <n v="4816"/>
    <n v="4816"/>
    <n v="4830"/>
    <s v="0.2003166675567627"/>
    <s v="results/7/item_solutions/pi-15-1000-1000-001.kna_1000_20_items.csv"/>
    <n v="0.200316667556762"/>
  </r>
  <r>
    <s v="pi-15-1000-1000-001.kna"/>
    <x v="3"/>
    <x v="4"/>
    <n v="4816"/>
    <n v="4816"/>
    <n v="4827"/>
    <s v="0.214271068572998"/>
    <s v="results/7/item_solutions/pi-15-1000-1000-001.kna_1000_5_items.csv"/>
    <n v="0.21427106857299799"/>
  </r>
  <r>
    <s v="pi-15-1000-1000-001.kna"/>
    <x v="4"/>
    <x v="0"/>
    <n v="4816"/>
    <n v="4816"/>
    <n v="4824"/>
    <s v="0.0170004367828369"/>
    <s v="results/7/item_solutions/pi-15-1000-1000-001.kna_100_1_items.csv"/>
    <n v="1.70004367828369E-2"/>
  </r>
  <r>
    <s v="pi-15-1000-1000-001.kna"/>
    <x v="4"/>
    <x v="1"/>
    <n v="4816"/>
    <n v="4816"/>
    <n v="4833"/>
    <s v="0.0199983119964599"/>
    <s v="results/7/item_solutions/pi-15-1000-1000-001.kna_100_10_items.csv"/>
    <n v="1.9998311996459898E-2"/>
  </r>
  <r>
    <s v="pi-15-1000-1000-001.kna"/>
    <x v="4"/>
    <x v="2"/>
    <n v="4816"/>
    <n v="4816"/>
    <n v="4839"/>
    <s v="0.0214321613311767"/>
    <s v="results/7/item_solutions/pi-15-1000-1000-001.kna_100_15_items.csv"/>
    <n v="2.1432161331176699E-2"/>
  </r>
  <r>
    <s v="pi-15-1000-1000-001.kna"/>
    <x v="4"/>
    <x v="3"/>
    <n v="4816"/>
    <n v="4816"/>
    <n v="4839"/>
    <s v="0.0200972557067871"/>
    <s v="results/7/item_solutions/pi-15-1000-1000-001.kna_100_20_items.csv"/>
    <n v="2.0097255706787099E-2"/>
  </r>
  <r>
    <s v="pi-15-1000-1000-001.kna"/>
    <x v="4"/>
    <x v="4"/>
    <n v="4816"/>
    <n v="4816"/>
    <n v="4827"/>
    <s v="0.0243935585021972"/>
    <s v="results/7/item_solutions/pi-15-1000-1000-001.kna_100_5_items.csv"/>
    <n v="2.43935585021972E-2"/>
  </r>
  <r>
    <s v="pi-15-1000-1000-001.kna"/>
    <x v="5"/>
    <x v="0"/>
    <n v="4816"/>
    <n v="4816"/>
    <n v="4827"/>
    <s v="0.001997947692871"/>
    <s v="results/7/item_solutions/pi-15-1000-1000-001.kna_10_1_items.csv"/>
    <n v="1.9979476928710001E-3"/>
  </r>
  <r>
    <s v="pi-15-1000-1000-001.kna"/>
    <x v="5"/>
    <x v="1"/>
    <n v="4816"/>
    <n v="4816"/>
    <n v="4833"/>
    <s v="0.0030016899108886"/>
    <s v="results/7/item_solutions/pi-15-1000-1000-001.kna_10_10_items.csv"/>
    <n v="3.0016899108885999E-3"/>
  </r>
  <r>
    <s v="pi-15-1000-1000-001.kna"/>
    <x v="5"/>
    <x v="2"/>
    <n v="4816"/>
    <n v="4816"/>
    <n v="4833"/>
    <s v="0.0020327568054199"/>
    <s v="results/7/item_solutions/pi-15-1000-1000-001.kna_10_15_items.csv"/>
    <n v="2.0327568054199002E-3"/>
  </r>
  <r>
    <s v="pi-15-1000-1000-001.kna"/>
    <x v="5"/>
    <x v="3"/>
    <n v="4816"/>
    <n v="4816"/>
    <n v="4830"/>
    <s v="0.002030611038208"/>
    <s v="results/7/item_solutions/pi-15-1000-1000-001.kna_10_20_items.csv"/>
    <n v="2.030611038208E-3"/>
  </r>
  <r>
    <s v="pi-15-1000-1000-001.kna"/>
    <x v="5"/>
    <x v="4"/>
    <n v="4816"/>
    <n v="4816"/>
    <n v="4833"/>
    <s v="0.0029993057250976"/>
    <s v="results/7/item_solutions/pi-15-1000-1000-001.kna_10_5_items.csv"/>
    <n v="2.9993057250975999E-3"/>
  </r>
  <r>
    <s v="pi-15-1000-1000-001.kna"/>
    <x v="6"/>
    <x v="0"/>
    <n v="4816"/>
    <n v="4816"/>
    <n v="4833"/>
    <s v="96.6716332435608"/>
    <s v="results/7/item_solutions/pi-15-1000-1000-001.kna_500000_1_items.csv"/>
    <n v="96.671633243560805"/>
  </r>
  <r>
    <s v="pi-15-1000-1000-001.kna"/>
    <x v="6"/>
    <x v="1"/>
    <n v="4816"/>
    <n v="4816"/>
    <n v="4827"/>
    <s v="127.268718957901"/>
    <s v="results/7/item_solutions/pi-15-1000-1000-001.kna_500000_10_items.csv"/>
    <n v="127.268718957901"/>
  </r>
  <r>
    <s v="pi-15-1000-1000-001.kna"/>
    <x v="6"/>
    <x v="2"/>
    <n v="4816"/>
    <n v="4816"/>
    <n v="4827"/>
    <s v="125.4975926876068"/>
    <s v="results/7/item_solutions/pi-15-1000-1000-001.kna_500000_15_items.csv"/>
    <n v="125.497592687606"/>
  </r>
  <r>
    <s v="pi-15-1000-1000-001.kna"/>
    <x v="6"/>
    <x v="3"/>
    <n v="4816"/>
    <n v="4816"/>
    <n v="4824"/>
    <s v="107.22024965286256"/>
    <s v="results/7/item_solutions/pi-15-1000-1000-001.kna_500000_20_items.csv"/>
    <n v="107.22024965286199"/>
  </r>
  <r>
    <s v="pi-15-1000-1000-001.kna"/>
    <x v="6"/>
    <x v="4"/>
    <n v="4816"/>
    <n v="4816"/>
    <n v="4830"/>
    <s v="96.6054310798645"/>
    <s v="results/7/item_solutions/pi-15-1000-1000-001.kna_500000_5_items.csv"/>
    <n v="96.605431079864502"/>
  </r>
  <r>
    <s v="pi-15-1000-1000-001.kna"/>
    <x v="7"/>
    <x v="0"/>
    <n v="4816"/>
    <n v="4815"/>
    <n v="4830"/>
    <s v="9.56263780593872"/>
    <s v="results/7/item_solutions/pi-15-1000-1000-001.kna_50000_1_items.csv"/>
    <n v="9.5626378059387207"/>
  </r>
  <r>
    <s v="pi-15-1000-1000-001.kna"/>
    <x v="7"/>
    <x v="1"/>
    <n v="4816"/>
    <n v="4816"/>
    <n v="4827"/>
    <s v="12.063108444213867"/>
    <s v="results/7/item_solutions/pi-15-1000-1000-001.kna_50000_10_items.csv"/>
    <n v="12.0631084442138"/>
  </r>
  <r>
    <s v="pi-15-1000-1000-001.kna"/>
    <x v="7"/>
    <x v="2"/>
    <n v="4816"/>
    <n v="4816"/>
    <n v="4830"/>
    <s v="9.357295751571655"/>
    <s v="results/7/item_solutions/pi-15-1000-1000-001.kna_50000_15_items.csv"/>
    <n v="9.3572957515716499"/>
  </r>
  <r>
    <s v="pi-15-1000-1000-001.kna"/>
    <x v="7"/>
    <x v="3"/>
    <n v="4816"/>
    <n v="4815"/>
    <n v="4824"/>
    <s v="11.407365560531616"/>
    <s v="results/7/item_solutions/pi-15-1000-1000-001.kna_50000_20_items.csv"/>
    <n v="11.4073655605316"/>
  </r>
  <r>
    <s v="pi-15-1000-1000-001.kna"/>
    <x v="7"/>
    <x v="4"/>
    <n v="4816"/>
    <n v="4816"/>
    <n v="4830"/>
    <s v="11.105720520019531"/>
    <s v="results/7/item_solutions/pi-15-1000-1000-001.kna_50000_5_items.csv"/>
    <n v="11.105720520019499"/>
  </r>
  <r>
    <s v="pi-15-1000-1000-001.kna"/>
    <x v="8"/>
    <x v="0"/>
    <n v="4816"/>
    <n v="4816"/>
    <n v="4827"/>
    <s v="0.8692548274993896"/>
    <s v="results/7/item_solutions/pi-15-1000-1000-001.kna_5000_1_items.csv"/>
    <n v="0.86925482749938898"/>
  </r>
  <r>
    <s v="pi-15-1000-1000-001.kna"/>
    <x v="8"/>
    <x v="1"/>
    <n v="4816"/>
    <n v="4815"/>
    <n v="4833"/>
    <s v="1.0211801528930664"/>
    <s v="results/7/item_solutions/pi-15-1000-1000-001.kna_5000_10_items.csv"/>
    <n v="1.02118015289306"/>
  </r>
  <r>
    <s v="pi-15-1000-1000-001.kna"/>
    <x v="8"/>
    <x v="2"/>
    <n v="4816"/>
    <n v="4816"/>
    <n v="4830"/>
    <s v="1.169771671295166"/>
    <s v="results/7/item_solutions/pi-15-1000-1000-001.kna_5000_15_items.csv"/>
    <n v="1.16977167129516"/>
  </r>
  <r>
    <s v="pi-15-1000-1000-001.kna"/>
    <x v="8"/>
    <x v="3"/>
    <n v="4816"/>
    <n v="4816"/>
    <n v="4830"/>
    <s v="1.180950403213501"/>
    <s v="results/7/item_solutions/pi-15-1000-1000-001.kna_5000_20_items.csv"/>
    <n v="1.1809504032135001"/>
  </r>
  <r>
    <s v="pi-15-1000-1000-001.kna"/>
    <x v="8"/>
    <x v="4"/>
    <n v="4816"/>
    <n v="4815"/>
    <n v="4830"/>
    <s v="0.97318696975708"/>
    <s v="results/7/item_solutions/pi-15-1000-1000-001.kna_5000_5_items.csv"/>
    <n v="0.97318696975707997"/>
  </r>
  <r>
    <s v="pi-15-1000-1000-001.kna"/>
    <x v="9"/>
    <x v="0"/>
    <n v="4816"/>
    <n v="4815"/>
    <n v="4830"/>
    <s v="0.0915145874023437"/>
    <s v="results/7/item_solutions/pi-15-1000-1000-001.kna_500_1_items.csv"/>
    <n v="9.1514587402343694E-2"/>
  </r>
  <r>
    <s v="pi-15-1000-1000-001.kna"/>
    <x v="9"/>
    <x v="1"/>
    <n v="4816"/>
    <n v="4816"/>
    <n v="4821"/>
    <s v="0.1233632564544677"/>
    <s v="results/7/item_solutions/pi-15-1000-1000-001.kna_500_10_items.csv"/>
    <n v="0.123363256454467"/>
  </r>
  <r>
    <s v="pi-15-1000-1000-001.kna"/>
    <x v="9"/>
    <x v="2"/>
    <n v="4816"/>
    <n v="4816"/>
    <n v="4827"/>
    <s v="0.1168434619903564"/>
    <s v="results/7/item_solutions/pi-15-1000-1000-001.kna_500_15_items.csv"/>
    <n v="0.116843461990356"/>
  </r>
  <r>
    <s v="pi-15-1000-1000-001.kna"/>
    <x v="9"/>
    <x v="3"/>
    <n v="4816"/>
    <n v="4816"/>
    <n v="4827"/>
    <s v="0.110086441040039"/>
    <s v="results/7/item_solutions/pi-15-1000-1000-001.kna_500_20_items.csv"/>
    <n v="0.11008644104003899"/>
  </r>
  <r>
    <s v="pi-15-1000-1000-001.kna"/>
    <x v="9"/>
    <x v="4"/>
    <n v="4816"/>
    <n v="4816"/>
    <n v="4833"/>
    <s v="0.094301700592041"/>
    <s v="results/7/item_solutions/pi-15-1000-1000-001.kna_500_5_items.csv"/>
    <n v="9.4301700592041002E-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pi-15-10000-1000-001.kna"/>
    <x v="0"/>
    <x v="0"/>
    <n v="49297"/>
    <n v="49297"/>
    <n v="49404"/>
    <s v="4208.440181732178"/>
    <s v="results/8/item_solutions/pi-15-10000-1000-001.kna_1000000_1_items.csv"/>
    <n v="4208.4401817321695"/>
  </r>
  <r>
    <s v="pi-15-10000-1000-001.kna"/>
    <x v="0"/>
    <x v="1"/>
    <n v="49297"/>
    <n v="49297"/>
    <n v="49398"/>
    <s v="5158.792953968048"/>
    <s v="results/8/item_solutions/pi-15-10000-1000-001.kna_1000000_10_items.csv"/>
    <n v="5158.7929539680399"/>
  </r>
  <r>
    <s v="pi-15-10000-1000-001.kna"/>
    <x v="0"/>
    <x v="2"/>
    <n v="49297"/>
    <n v="49297"/>
    <n v="49389"/>
    <s v="4466.5206916332245"/>
    <s v="results/8/item_solutions/pi-15-10000-1000-001.kna_1000000_15_items.csv"/>
    <n v="4466.5206916332199"/>
  </r>
  <r>
    <s v="pi-15-10000-1000-001.kna"/>
    <x v="0"/>
    <x v="3"/>
    <n v="49297"/>
    <n v="49297"/>
    <n v="49410"/>
    <s v="4852.718308448792"/>
    <s v="results/8/item_solutions/pi-15-10000-1000-001.kna_1000000_20_items.csv"/>
    <n v="4852.7183084487897"/>
  </r>
  <r>
    <s v="pi-15-10000-1000-001.kna"/>
    <x v="0"/>
    <x v="4"/>
    <n v="49297"/>
    <n v="49297"/>
    <n v="49401"/>
    <s v="5057.379546165466"/>
    <s v="results/8/item_solutions/pi-15-10000-1000-001.kna_1000000_5_items.csv"/>
    <n v="5057.3795461654599"/>
  </r>
  <r>
    <s v="pi-15-10000-1000-001.kna"/>
    <x v="1"/>
    <x v="0"/>
    <n v="49297"/>
    <n v="49297"/>
    <n v="49383"/>
    <s v="403.7935364246368"/>
    <s v="results/8/item_solutions/pi-15-10000-1000-001.kna_100000_1_items.csv"/>
    <n v="403.79353642463599"/>
  </r>
  <r>
    <s v="pi-15-10000-1000-001.kna"/>
    <x v="1"/>
    <x v="1"/>
    <n v="49297"/>
    <n v="49297"/>
    <n v="49398"/>
    <s v="415.2397677898407"/>
    <s v="results/8/item_solutions/pi-15-10000-1000-001.kna_100000_10_items.csv"/>
    <n v="415.23976778984002"/>
  </r>
  <r>
    <s v="pi-15-10000-1000-001.kna"/>
    <x v="1"/>
    <x v="2"/>
    <n v="49297"/>
    <n v="49297"/>
    <n v="49413"/>
    <s v="439.6512792110443"/>
    <s v="results/8/item_solutions/pi-15-10000-1000-001.kna_100000_15_items.csv"/>
    <n v="439.65127921104403"/>
  </r>
  <r>
    <s v="pi-15-10000-1000-001.kna"/>
    <x v="1"/>
    <x v="3"/>
    <n v="49297"/>
    <n v="49297"/>
    <n v="49389"/>
    <s v="400.74621987342834"/>
    <s v="results/8/item_solutions/pi-15-10000-1000-001.kna_100000_20_items.csv"/>
    <n v="400.746219873428"/>
  </r>
  <r>
    <s v="pi-15-10000-1000-001.kna"/>
    <x v="1"/>
    <x v="4"/>
    <n v="49297"/>
    <n v="49297"/>
    <n v="49404"/>
    <s v="406.7081513404846"/>
    <s v="results/8/item_solutions/pi-15-10000-1000-001.kna_100000_5_items.csv"/>
    <n v="406.70815134048399"/>
  </r>
  <r>
    <s v="pi-15-10000-1000-001.kna"/>
    <x v="2"/>
    <x v="0"/>
    <n v="49297"/>
    <n v="49297"/>
    <n v="49401"/>
    <s v="41.18879318237305"/>
    <s v="results/8/item_solutions/pi-15-10000-1000-001.kna_10000_1_items.csv"/>
    <n v="41.188793182372997"/>
  </r>
  <r>
    <s v="pi-15-10000-1000-001.kna"/>
    <x v="2"/>
    <x v="1"/>
    <n v="49297"/>
    <n v="49297"/>
    <n v="49389"/>
    <s v="43.56685185432434"/>
    <s v="results/8/item_solutions/pi-15-10000-1000-001.kna_10000_10_items.csv"/>
    <n v="43.566851854324298"/>
  </r>
  <r>
    <s v="pi-15-10000-1000-001.kna"/>
    <x v="2"/>
    <x v="2"/>
    <n v="49297"/>
    <n v="49297"/>
    <n v="49407"/>
    <s v="43.2808313369751"/>
    <s v="results/8/item_solutions/pi-15-10000-1000-001.kna_10000_15_items.csv"/>
    <n v="43.280831336975098"/>
  </r>
  <r>
    <s v="pi-15-10000-1000-001.kna"/>
    <x v="2"/>
    <x v="3"/>
    <n v="49297"/>
    <n v="49297"/>
    <n v="49404"/>
    <s v="46.89704418182373"/>
    <s v="results/8/item_solutions/pi-15-10000-1000-001.kna_10000_20_items.csv"/>
    <n v="46.897044181823702"/>
  </r>
  <r>
    <s v="pi-15-10000-1000-001.kna"/>
    <x v="2"/>
    <x v="4"/>
    <n v="49297"/>
    <n v="49297"/>
    <n v="49395"/>
    <s v="43.326387882232666"/>
    <s v="results/8/item_solutions/pi-15-10000-1000-001.kna_10000_5_items.csv"/>
    <n v="43.326387882232602"/>
  </r>
  <r>
    <s v="pi-15-10000-1000-001.kna"/>
    <x v="3"/>
    <x v="0"/>
    <n v="49297"/>
    <n v="49297"/>
    <n v="49407"/>
    <s v="4.61042332649231"/>
    <s v="results/8/item_solutions/pi-15-10000-1000-001.kna_1000_1_items.csv"/>
    <n v="4.6104233264923096"/>
  </r>
  <r>
    <s v="pi-15-10000-1000-001.kna"/>
    <x v="3"/>
    <x v="1"/>
    <n v="49297"/>
    <n v="49297"/>
    <n v="49398"/>
    <s v="4.0036492347717285"/>
    <s v="results/8/item_solutions/pi-15-10000-1000-001.kna_1000_10_items.csv"/>
    <n v="4.0036492347717196"/>
  </r>
  <r>
    <s v="pi-15-10000-1000-001.kna"/>
    <x v="3"/>
    <x v="2"/>
    <n v="49297"/>
    <n v="49297"/>
    <n v="49401"/>
    <s v="4.8431360721588135"/>
    <s v="results/8/item_solutions/pi-15-10000-1000-001.kna_1000_15_items.csv"/>
    <n v="4.8431360721588099"/>
  </r>
  <r>
    <s v="pi-15-10000-1000-001.kna"/>
    <x v="3"/>
    <x v="3"/>
    <n v="49297"/>
    <n v="49297"/>
    <n v="49410"/>
    <s v="4.327082395553589"/>
    <s v="results/8/item_solutions/pi-15-10000-1000-001.kna_1000_20_items.csv"/>
    <n v="4.32708239555358"/>
  </r>
  <r>
    <s v="pi-15-10000-1000-001.kna"/>
    <x v="3"/>
    <x v="4"/>
    <n v="49297"/>
    <n v="49297"/>
    <n v="49398"/>
    <s v="4.373608112335205"/>
    <s v="results/8/item_solutions/pi-15-10000-1000-001.kna_1000_5_items.csv"/>
    <n v="4.3736081123351997"/>
  </r>
  <r>
    <s v="pi-15-10000-1000-001.kna"/>
    <x v="4"/>
    <x v="0"/>
    <n v="49297"/>
    <n v="49297"/>
    <n v="49380"/>
    <s v="0.4403557777404785"/>
    <s v="results/8/item_solutions/pi-15-10000-1000-001.kna_100_1_items.csv"/>
    <n v="0.44035577774047802"/>
  </r>
  <r>
    <s v="pi-15-10000-1000-001.kna"/>
    <x v="4"/>
    <x v="1"/>
    <n v="49297"/>
    <n v="49297"/>
    <n v="49392"/>
    <s v="0.4905829429626465"/>
    <s v="results/8/item_solutions/pi-15-10000-1000-001.kna_100_10_items.csv"/>
    <n v="0.49058294296264598"/>
  </r>
  <r>
    <s v="pi-15-10000-1000-001.kna"/>
    <x v="4"/>
    <x v="2"/>
    <n v="49297"/>
    <n v="49297"/>
    <n v="49404"/>
    <s v="0.4847016334533691"/>
    <s v="results/8/item_solutions/pi-15-10000-1000-001.kna_100_15_items.csv"/>
    <n v="0.48470163345336897"/>
  </r>
  <r>
    <s v="pi-15-10000-1000-001.kna"/>
    <x v="4"/>
    <x v="3"/>
    <n v="49297"/>
    <n v="49297"/>
    <n v="49401"/>
    <s v="0.5431399345397949"/>
    <s v="results/8/item_solutions/pi-15-10000-1000-001.kna_100_20_items.csv"/>
    <n v="0.54313993453979403"/>
  </r>
  <r>
    <s v="pi-15-10000-1000-001.kna"/>
    <x v="4"/>
    <x v="4"/>
    <n v="49297"/>
    <n v="49297"/>
    <n v="49395"/>
    <s v="0.7788286209106445"/>
    <s v="results/8/item_solutions/pi-15-10000-1000-001.kna_100_5_items.csv"/>
    <n v="0.77882862091064398"/>
  </r>
  <r>
    <s v="pi-15-10000-1000-001.kna"/>
    <x v="5"/>
    <x v="0"/>
    <n v="49297"/>
    <n v="49297"/>
    <n v="49425"/>
    <s v="0.0932297706604003"/>
    <s v="results/8/item_solutions/pi-15-10000-1000-001.kna_10_1_items.csv"/>
    <n v="9.3229770660400293E-2"/>
  </r>
  <r>
    <s v="pi-15-10000-1000-001.kna"/>
    <x v="5"/>
    <x v="1"/>
    <n v="49297"/>
    <n v="49297"/>
    <n v="49407"/>
    <s v="0.0495393276214599"/>
    <s v="results/8/item_solutions/pi-15-10000-1000-001.kna_10_10_items.csv"/>
    <n v="4.9539327621459898E-2"/>
  </r>
  <r>
    <s v="pi-15-10000-1000-001.kna"/>
    <x v="5"/>
    <x v="2"/>
    <n v="49297"/>
    <n v="49297"/>
    <n v="49395"/>
    <s v="0.0955481529235839"/>
    <s v="results/8/item_solutions/pi-15-10000-1000-001.kna_10_15_items.csv"/>
    <n v="9.5548152923583901E-2"/>
  </r>
  <r>
    <s v="pi-15-10000-1000-001.kna"/>
    <x v="5"/>
    <x v="3"/>
    <n v="49297"/>
    <n v="49297"/>
    <n v="49413"/>
    <s v="0.0506331920623779"/>
    <s v="results/8/item_solutions/pi-15-10000-1000-001.kna_10_20_items.csv"/>
    <n v="5.0633192062377902E-2"/>
  </r>
  <r>
    <s v="pi-15-10000-1000-001.kna"/>
    <x v="5"/>
    <x v="4"/>
    <n v="49297"/>
    <n v="49297"/>
    <n v="49407"/>
    <s v="0.052006721496582"/>
    <s v="results/8/item_solutions/pi-15-10000-1000-001.kna_10_5_items.csv"/>
    <n v="5.2006721496581997E-2"/>
  </r>
  <r>
    <s v="pi-15-10000-1000-001.kna"/>
    <x v="6"/>
    <x v="0"/>
    <n v="49297"/>
    <n v="49297"/>
    <n v="49404"/>
    <s v="2170.365513563156"/>
    <s v="results/8/item_solutions/pi-15-10000-1000-001.kna_500000_1_items.csv"/>
    <n v="2170.3655135631502"/>
  </r>
  <r>
    <s v="pi-15-10000-1000-001.kna"/>
    <x v="6"/>
    <x v="1"/>
    <n v="49297"/>
    <n v="49297"/>
    <n v="49410"/>
    <s v="2254.487553358078"/>
    <s v="results/8/item_solutions/pi-15-10000-1000-001.kna_500000_10_items.csv"/>
    <n v="2254.4875533580698"/>
  </r>
  <r>
    <s v="pi-15-10000-1000-001.kna"/>
    <x v="6"/>
    <x v="2"/>
    <n v="49297"/>
    <n v="49297"/>
    <n v="49401"/>
    <s v="2452.755290031433"/>
    <s v="results/8/item_solutions/pi-15-10000-1000-001.kna_500000_15_items.csv"/>
    <n v="2452.7552900314299"/>
  </r>
  <r>
    <s v="pi-15-10000-1000-001.kna"/>
    <x v="6"/>
    <x v="3"/>
    <n v="49297"/>
    <n v="49297"/>
    <n v="49413"/>
    <s v="2202.8064403533936"/>
    <s v="results/8/item_solutions/pi-15-10000-1000-001.kna_500000_20_items.csv"/>
    <n v="2202.8064403533899"/>
  </r>
  <r>
    <s v="pi-15-10000-1000-001.kna"/>
    <x v="6"/>
    <x v="4"/>
    <n v="49297"/>
    <n v="49297"/>
    <n v="49407"/>
    <s v="2079.392572402954"/>
    <s v="results/8/item_solutions/pi-15-10000-1000-001.kna_500000_5_items.csv"/>
    <n v="2079.39257240295"/>
  </r>
  <r>
    <s v="pi-15-10000-1000-001.kna"/>
    <x v="7"/>
    <x v="0"/>
    <n v="49297"/>
    <n v="49297"/>
    <n v="49386"/>
    <s v="205.44485759735107"/>
    <s v="results/8/item_solutions/pi-15-10000-1000-001.kna_50000_1_items.csv"/>
    <n v="205.44485759735099"/>
  </r>
  <r>
    <s v="pi-15-10000-1000-001.kna"/>
    <x v="7"/>
    <x v="1"/>
    <n v="49297"/>
    <n v="49297"/>
    <n v="49395"/>
    <s v="227.99898886680603"/>
    <s v="results/8/item_solutions/pi-15-10000-1000-001.kna_50000_10_items.csv"/>
    <n v="227.998988866806"/>
  </r>
  <r>
    <s v="pi-15-10000-1000-001.kna"/>
    <x v="7"/>
    <x v="2"/>
    <n v="49297"/>
    <n v="49297"/>
    <n v="49401"/>
    <s v="214.3591592311859"/>
    <s v="results/8/item_solutions/pi-15-10000-1000-001.kna_50000_15_items.csv"/>
    <n v="214.359159231185"/>
  </r>
  <r>
    <s v="pi-15-10000-1000-001.kna"/>
    <x v="7"/>
    <x v="3"/>
    <n v="49297"/>
    <n v="49297"/>
    <n v="49398"/>
    <s v="237.0860857963562"/>
    <s v="results/8/item_solutions/pi-15-10000-1000-001.kna_50000_20_items.csv"/>
    <n v="237.086085796356"/>
  </r>
  <r>
    <s v="pi-15-10000-1000-001.kna"/>
    <x v="7"/>
    <x v="4"/>
    <n v="49297"/>
    <n v="49297"/>
    <n v="49398"/>
    <s v="217.67868542671204"/>
    <s v="results/8/item_solutions/pi-15-10000-1000-001.kna_50000_5_items.csv"/>
    <n v="217.67868542671201"/>
  </r>
  <r>
    <s v="pi-15-10000-1000-001.kna"/>
    <x v="8"/>
    <x v="0"/>
    <n v="49297"/>
    <n v="49297"/>
    <n v="49413"/>
    <s v="21.73772644996643"/>
    <s v="results/8/item_solutions/pi-15-10000-1000-001.kna_5000_1_items.csv"/>
    <n v="21.737726449966399"/>
  </r>
  <r>
    <s v="pi-15-10000-1000-001.kna"/>
    <x v="8"/>
    <x v="1"/>
    <n v="49297"/>
    <n v="49297"/>
    <n v="49410"/>
    <s v="21.07400107383728"/>
    <s v="results/8/item_solutions/pi-15-10000-1000-001.kna_5000_10_items.csv"/>
    <n v="21.074001073837199"/>
  </r>
  <r>
    <s v="pi-15-10000-1000-001.kna"/>
    <x v="8"/>
    <x v="2"/>
    <n v="49297"/>
    <n v="49297"/>
    <n v="49416"/>
    <s v="22.046640157699585"/>
    <s v="results/8/item_solutions/pi-15-10000-1000-001.kna_5000_15_items.csv"/>
    <n v="22.0466401576995"/>
  </r>
  <r>
    <s v="pi-15-10000-1000-001.kna"/>
    <x v="8"/>
    <x v="3"/>
    <n v="49297"/>
    <n v="49297"/>
    <n v="49386"/>
    <s v="19.04769086837769"/>
    <s v="results/8/item_solutions/pi-15-10000-1000-001.kna_5000_20_items.csv"/>
    <n v="19.0476908683776"/>
  </r>
  <r>
    <s v="pi-15-10000-1000-001.kna"/>
    <x v="8"/>
    <x v="4"/>
    <n v="49297"/>
    <n v="49297"/>
    <n v="49401"/>
    <s v="21.24821138381958"/>
    <s v="results/8/item_solutions/pi-15-10000-1000-001.kna_5000_5_items.csv"/>
    <n v="21.248211383819498"/>
  </r>
  <r>
    <s v="pi-15-10000-1000-001.kna"/>
    <x v="9"/>
    <x v="0"/>
    <n v="49297"/>
    <n v="49297"/>
    <n v="49410"/>
    <s v="2.140954971313477"/>
    <s v="results/8/item_solutions/pi-15-10000-1000-001.kna_500_1_items.csv"/>
    <n v="2.1409549713134699"/>
  </r>
  <r>
    <s v="pi-15-10000-1000-001.kna"/>
    <x v="9"/>
    <x v="1"/>
    <n v="49297"/>
    <n v="49297"/>
    <n v="49407"/>
    <s v="2.2566189765930176"/>
    <s v="results/8/item_solutions/pi-15-10000-1000-001.kna_500_10_items.csv"/>
    <n v="2.25661897659301"/>
  </r>
  <r>
    <s v="pi-15-10000-1000-001.kna"/>
    <x v="9"/>
    <x v="2"/>
    <n v="49297"/>
    <n v="49297"/>
    <n v="49398"/>
    <s v="2.2005980014801025"/>
    <s v="results/8/item_solutions/pi-15-10000-1000-001.kna_500_15_items.csv"/>
    <n v="2.2005980014800999"/>
  </r>
  <r>
    <s v="pi-15-10000-1000-001.kna"/>
    <x v="9"/>
    <x v="3"/>
    <n v="49297"/>
    <n v="49297"/>
    <n v="49374"/>
    <s v="2.0479564666748047"/>
    <s v="results/8/item_solutions/pi-15-10000-1000-001.kna_500_20_items.csv"/>
    <n v="2.0479564666747998"/>
  </r>
  <r>
    <s v="pi-15-10000-1000-001.kna"/>
    <x v="9"/>
    <x v="4"/>
    <n v="49297"/>
    <n v="49297"/>
    <n v="49410"/>
    <s v="2.195119619369507"/>
    <s v="results/8/item_solutions/pi-15-10000-1000-001.kna_500_5_items.csv"/>
    <n v="2.1951196193695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31D37-CFE4-42C6-A83D-FAD9D22019E6}" name="Tableau croisé dynamique17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 chartFormat="24">
  <location ref="A77:B83" firstHeaderRow="1" firstDataRow="1" firstDataCol="1"/>
  <pivotFields count="9"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oyenne de Total profit" fld="5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66537A-39F8-4CF2-9360-C580D837CEA9}" name="Tableau croisé dynamique1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 chartFormat="17">
  <location ref="A60:B71" firstHeaderRow="1" firstDataRow="1" firstDataCol="1"/>
  <pivotFields count="9"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Moyenne de Total profit" fld="5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81CFF-3FEF-41CD-86C3-5EE3A19EFA46}" name="Tableau croisé dynamique19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 chartFormat="9">
  <location ref="A77:B83" firstHeaderRow="1" firstDataRow="1" firstDataCol="1"/>
  <pivotFields count="8">
    <pivotField showAll="0"/>
    <pivotField showAll="0"/>
    <pivotField axis="axisRow" showAll="0">
      <items count="6">
        <item x="0"/>
        <item x="4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oyenne de Total profit" fld="5" subtotal="average" baseField="2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D4406-3C49-4FB0-AA4D-EAE3BCAAB2C4}" name="Tableau croisé dynamique18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 chartFormat="11">
  <location ref="A60:B71" firstHeaderRow="1" firstDataRow="1" firstDataCol="1"/>
  <pivotFields count="8">
    <pivotField showAll="0"/>
    <pivotField axis="axisRow" showAll="0">
      <items count="11">
        <item x="5"/>
        <item x="4"/>
        <item x="9"/>
        <item x="3"/>
        <item x="8"/>
        <item x="2"/>
        <item x="7"/>
        <item x="1"/>
        <item x="6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Moyenne de Total profit" fld="5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FB115A-A25B-4C33-9081-4ECD07CABB86}" name="Tableau croisé dynamique21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 chartFormat="8">
  <location ref="A77:B83" firstHeaderRow="1" firstDataRow="1" firstDataCol="1"/>
  <pivotFields count="8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oyenne de Total profit" fld="5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A79FC-104E-46C7-899F-E207931BBA4B}" name="Tableau croisé dynamique20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 chartFormat="1">
  <location ref="A60:B71" firstHeaderRow="1" firstDataRow="1" firstDataCol="1"/>
  <pivotFields count="8"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Moyenne de Total profit" fld="5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23EFE-2F68-4E32-96C9-E79692878C62}" name="Tableau croisé dynamique22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 chartFormat="1">
  <location ref="A60:B71" firstHeaderRow="1" firstDataRow="1" firstDataCol="1"/>
  <pivotFields count="8">
    <pivotField showAll="0"/>
    <pivotField axis="axisRow" showAll="0">
      <items count="11">
        <item x="5"/>
        <item x="4"/>
        <item x="9"/>
        <item x="3"/>
        <item x="8"/>
        <item x="2"/>
        <item x="7"/>
        <item x="1"/>
        <item x="6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Moyenne de Total profit" fld="5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46F1F-4B99-4BC7-838D-75A5D54F0723}" name="Tableau croisé dynamique23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 chartFormat="1">
  <location ref="A77:B83" firstHeaderRow="1" firstDataRow="1" firstDataCol="1"/>
  <pivotFields count="8">
    <pivotField showAll="0"/>
    <pivotField showAll="0"/>
    <pivotField axis="axisRow" showAll="0">
      <items count="6">
        <item x="0"/>
        <item x="4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oyenne de Total profit" fld="5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32E969-C5EB-4C9A-B042-F9EB56ADBF4F}" name="Tableau croisé dynamique25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 chartFormat="1">
  <location ref="A77:B83" firstHeaderRow="1" firstDataRow="1" firstDataCol="1"/>
  <pivotFields count="8">
    <pivotField showAll="0"/>
    <pivotField showAll="0"/>
    <pivotField axis="axisRow" showAll="0">
      <items count="6">
        <item x="0"/>
        <item x="4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Total profit" fld="5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8E4A4-8274-469E-BDC0-03302FD01BE0}" name="Tableau croisé dynamique24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 chartFormat="1">
  <location ref="A60:B71" firstHeaderRow="1" firstDataRow="1" firstDataCol="1"/>
  <pivotFields count="8">
    <pivotField showAll="0"/>
    <pivotField axis="axisRow" showAll="0">
      <items count="11">
        <item x="5"/>
        <item x="4"/>
        <item x="9"/>
        <item x="3"/>
        <item x="8"/>
        <item x="2"/>
        <item x="7"/>
        <item x="1"/>
        <item x="6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Moyenne de Total profit" fld="5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A2660-F887-4E0E-AC24-889E842DC646}" name="Tableau croisé dynamique26" cacheId="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 chartFormat="1">
  <location ref="A60:B71" firstHeaderRow="1" firstDataRow="1" firstDataCol="1"/>
  <pivotFields count="8">
    <pivotField showAll="0"/>
    <pivotField axis="axisRow" showAll="0">
      <items count="11">
        <item x="5"/>
        <item x="4"/>
        <item x="9"/>
        <item x="3"/>
        <item x="8"/>
        <item x="2"/>
        <item x="7"/>
        <item x="1"/>
        <item x="6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Moyenne de Total profit" fld="5" subtotal="average" baseField="1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BC04D2-31DF-4AD5-8EEB-842CCCE2E249}" name="Tableau croisé dynamique27" cacheId="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 chartFormat="1">
  <location ref="A77:B83" firstHeaderRow="1" firstDataRow="1" firstDataCol="1"/>
  <pivotFields count="8">
    <pivotField showAll="0"/>
    <pivotField showAll="0"/>
    <pivotField axis="axisRow" showAll="0">
      <items count="6">
        <item x="0"/>
        <item x="4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oyenne de Total profit" fld="5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EFA9F3-A545-4CFB-8855-E27892611BED}" name="Tableau croisé dynamique2" cacheId="1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 chartFormat="1">
  <location ref="A77:B83" firstHeaderRow="1" firstDataRow="1" firstDataCol="1"/>
  <pivotFields count="8">
    <pivotField showAll="0"/>
    <pivotField showAll="0"/>
    <pivotField axis="axisRow" showAll="0">
      <items count="6">
        <item x="0"/>
        <item x="4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oyenne de Total profit" fld="5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524383-6E8B-4B63-B598-ABA819A3A7F7}" name="Tableau croisé dynamique1" cacheId="1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 chartFormat="1">
  <location ref="A60:B71" firstHeaderRow="1" firstDataRow="1" firstDataCol="1"/>
  <pivotFields count="8">
    <pivotField showAll="0"/>
    <pivotField axis="axisRow" showAll="0">
      <items count="11">
        <item x="5"/>
        <item x="4"/>
        <item x="9"/>
        <item x="3"/>
        <item x="8"/>
        <item x="2"/>
        <item x="7"/>
        <item x="1"/>
        <item x="6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Moyenne de Total profit" fld="5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6CAFE-36B1-46F9-A12F-A8C78DBC99DF}" name="Tableau croisé dynamique6" cacheId="1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 chartFormat="1">
  <location ref="A77:B83" firstHeaderRow="1" firstDataRow="1" firstDataCol="1"/>
  <pivotFields count="9">
    <pivotField showAll="0"/>
    <pivotField showAll="0"/>
    <pivotField axis="axisRow" showAll="0">
      <items count="6">
        <item x="0"/>
        <item x="4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oyenne de Total profit" fld="5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C05360-7741-4DD8-B7A0-CFBE95AE6D33}" name="Tableau croisé dynamique5" cacheId="1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 chartFormat="1">
  <location ref="A60:B71" firstHeaderRow="1" firstDataRow="1" firstDataCol="1"/>
  <pivotFields count="9">
    <pivotField showAll="0"/>
    <pivotField axis="axisRow" showAll="0">
      <items count="11">
        <item x="5"/>
        <item x="4"/>
        <item x="9"/>
        <item x="3"/>
        <item x="8"/>
        <item x="2"/>
        <item x="7"/>
        <item x="1"/>
        <item x="6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Moyenne de Total profit" fld="5" subtotal="average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C8FB8-81AB-4E96-ADF4-5BCDB27286ED}" name="Tableau croisé dynamique8" cacheId="2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 chartFormat="1">
  <location ref="A77:B83" firstHeaderRow="1" firstDataRow="1" firstDataCol="1"/>
  <pivotFields count="9">
    <pivotField showAll="0"/>
    <pivotField showAll="0"/>
    <pivotField axis="axisRow" showAll="0">
      <items count="6">
        <item x="0"/>
        <item x="4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oyenne de Total profit" fld="5" subtotal="average" baseField="2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2FF24-2724-4166-844F-3EE7BE14C959}" name="Tableau croisé dynamique7" cacheId="2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 chartFormat="1">
  <location ref="A60:B71" firstHeaderRow="1" firstDataRow="1" firstDataCol="1"/>
  <pivotFields count="9">
    <pivotField showAll="0"/>
    <pivotField axis="axisRow" showAll="0">
      <items count="11">
        <item x="5"/>
        <item x="4"/>
        <item x="9"/>
        <item x="3"/>
        <item x="8"/>
        <item x="2"/>
        <item x="7"/>
        <item x="1"/>
        <item x="6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Moyenne de Total profit" fld="5" subtotal="average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7F8788A4-7F85-4D90-B08B-7C5E91AB64F3}" autoFormatId="16" applyNumberFormats="0" applyBorderFormats="0" applyFontFormats="0" applyPatternFormats="0" applyAlignmentFormats="0" applyWidthHeightFormats="0">
  <queryTableRefresh nextId="11" unboundColumnsRight="1">
    <queryTableFields count="9">
      <queryTableField id="1" name="Nom de la base" tableColumnId="1"/>
      <queryTableField id="2" name="Nombre d'iteration" tableColumnId="2"/>
      <queryTableField id="3" name="Taille liste Tabou" tableColumnId="3"/>
      <queryTableField id="4" name="Poids MAx" tableColumnId="4"/>
      <queryTableField id="5" name="Total weight" tableColumnId="5"/>
      <queryTableField id="6" name="Total profit" tableColumnId="6"/>
      <queryTableField id="7" name="Temps d'execution" tableColumnId="7"/>
      <queryTableField id="8" name="Fichier solution" tableColumnId="8"/>
      <queryTableField id="10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" xr16:uid="{C43CA06C-C533-47E7-9630-1C7BC33795F3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Nom de la base" tableColumnId="1"/>
      <queryTableField id="2" name="Nombre d'iteration" tableColumnId="2"/>
      <queryTableField id="3" name="Taille liste Tabou" tableColumnId="3"/>
      <queryTableField id="4" name="Poids MAx" tableColumnId="4"/>
      <queryTableField id="5" name="Total weight" tableColumnId="5"/>
      <queryTableField id="6" name="Total profit" tableColumnId="6"/>
      <queryTableField id="7" name="Temps d'execution" tableColumnId="7"/>
      <queryTableField id="8" name="Fichier solution" tableColumnId="8"/>
      <queryTableField id="9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3" xr16:uid="{D972F08A-C61A-4723-84B6-B3E18D15C8F6}" autoFormatId="16" applyNumberFormats="0" applyBorderFormats="0" applyFontFormats="0" applyPatternFormats="0" applyAlignmentFormats="0" applyWidthHeightFormats="0">
  <queryTableRefresh nextId="11" unboundColumnsRight="1">
    <queryTableFields count="9">
      <queryTableField id="1" name="Nom de la base" tableColumnId="1"/>
      <queryTableField id="2" name="Nombre d'iteration" tableColumnId="2"/>
      <queryTableField id="3" name="Taille liste Tabou" tableColumnId="3"/>
      <queryTableField id="4" name="Poids MAx" tableColumnId="4"/>
      <queryTableField id="5" name="Total weight" tableColumnId="5"/>
      <queryTableField id="6" name="Total profit" tableColumnId="6"/>
      <queryTableField id="7" name="Temps d'execution" tableColumnId="7"/>
      <queryTableField id="8" name="Fichier solution" tableColumnId="8"/>
      <queryTableField id="10" dataBound="0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4" connectionId="4" xr16:uid="{3488F653-0F1C-4DEE-ABBB-29318DBA210F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Nom de la base" tableColumnId="1"/>
      <queryTableField id="2" name="Nombre d'iteration" tableColumnId="2"/>
      <queryTableField id="3" name="Taille liste Tabou" tableColumnId="3"/>
      <queryTableField id="4" name="Poids MAx" tableColumnId="4"/>
      <queryTableField id="5" name="Total weight" tableColumnId="5"/>
      <queryTableField id="6" name="Total profit" tableColumnId="6"/>
      <queryTableField id="7" name="Temps d'execution" tableColumnId="7"/>
      <queryTableField id="8" name="Fichier solution" tableColumnId="8"/>
      <queryTableField id="9" dataBound="0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5" connectionId="5" xr16:uid="{CFCA9E84-7357-4573-8CB7-A4A2E7ABE9FD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Nom de la base" tableColumnId="1"/>
      <queryTableField id="2" name="Nombre d'iteration" tableColumnId="2"/>
      <queryTableField id="3" name="Taille liste Tabou" tableColumnId="3"/>
      <queryTableField id="4" name="Poids MAx" tableColumnId="4"/>
      <queryTableField id="5" name="Total weight" tableColumnId="5"/>
      <queryTableField id="6" name="Total profit" tableColumnId="6"/>
      <queryTableField id="7" name="Temps d'execution" tableColumnId="7"/>
      <queryTableField id="8" name="Fichier solution" tableColumnId="8"/>
      <queryTableField id="9" dataBound="0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6" connectionId="6" xr16:uid="{080183C7-0109-4A5B-83F9-360B82B9DF33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Nom de la base" tableColumnId="1"/>
      <queryTableField id="2" name="Nombre d'iteration" tableColumnId="2"/>
      <queryTableField id="3" name="Taille liste Tabou" tableColumnId="3"/>
      <queryTableField id="4" name="Poids MAx" tableColumnId="4"/>
      <queryTableField id="5" name="Total weight" tableColumnId="5"/>
      <queryTableField id="6" name="Total profit" tableColumnId="6"/>
      <queryTableField id="7" name="Temps d'execution" tableColumnId="7"/>
      <queryTableField id="8" name="Fichier solution" tableColumnId="8"/>
      <queryTableField id="9" dataBound="0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7" connectionId="7" xr16:uid="{BB5869E7-4BDE-43FA-974E-8BFD2FA8E059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Nom de la base" tableColumnId="1"/>
      <queryTableField id="2" name="Nombre d'iteration" tableColumnId="2"/>
      <queryTableField id="3" name="Taille liste Tabou" tableColumnId="3"/>
      <queryTableField id="4" name="Poids MAx" tableColumnId="4"/>
      <queryTableField id="5" name="Total weight" tableColumnId="5"/>
      <queryTableField id="6" name="Total profit" tableColumnId="6"/>
      <queryTableField id="7" name="Temps d'execution" tableColumnId="7"/>
      <queryTableField id="8" name="Fichier solution" tableColumnId="8"/>
      <queryTableField id="9" dataBound="0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8" connectionId="8" xr16:uid="{68A4F8C2-0E84-4C0C-B3A0-B6EFC446BEB9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Nom de la base" tableColumnId="1"/>
      <queryTableField id="2" name="Nombre d'iteration" tableColumnId="2"/>
      <queryTableField id="3" name="Taille liste Tabou" tableColumnId="3"/>
      <queryTableField id="4" name="Poids MAx" tableColumnId="4"/>
      <queryTableField id="5" name="Total weight" tableColumnId="5"/>
      <queryTableField id="6" name="Total profit" tableColumnId="6"/>
      <queryTableField id="7" name="Temps d'execution" tableColumnId="7"/>
      <queryTableField id="8" name="Fichier solution" tableColumnId="8"/>
      <queryTableField id="9" dataBound="0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9" connectionId="9" xr16:uid="{8B61ECF5-C149-406B-B125-905C23FCC911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Nom de la base" tableColumnId="1"/>
      <queryTableField id="2" name="Nombre d'iteration" tableColumnId="2"/>
      <queryTableField id="3" name="Taille liste Tabou" tableColumnId="3"/>
      <queryTableField id="4" name="Poids MAx" tableColumnId="4"/>
      <queryTableField id="5" name="Total weight" tableColumnId="5"/>
      <queryTableField id="6" name="Total profit" tableColumnId="6"/>
      <queryTableField id="7" name="Temps d'execution" tableColumnId="7"/>
      <queryTableField id="8" name="Fichier solution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D50808-088B-424E-8303-36328B837449}" name="results_0_fusionné" displayName="results_0_fusionné" ref="A1:I51" tableType="queryTable" totalsRowShown="0">
  <autoFilter ref="A1:I51" xr:uid="{F3D50808-088B-424E-8303-36328B837449}"/>
  <sortState xmlns:xlrd2="http://schemas.microsoft.com/office/spreadsheetml/2017/richdata2" ref="A2:H51">
    <sortCondition ref="B1:B51"/>
  </sortState>
  <tableColumns count="9">
    <tableColumn id="1" xr3:uid="{DF084F85-3287-4D89-BEC7-F79BF6AD8CD4}" uniqueName="1" name="Nom de la base" queryTableFieldId="1" dataDxfId="35"/>
    <tableColumn id="2" xr3:uid="{7821B7E2-C40F-4743-9B47-9D130891CA50}" uniqueName="2" name="Nombre d'iteration" queryTableFieldId="2"/>
    <tableColumn id="3" xr3:uid="{43FA4FD0-49E1-437E-8DA5-ED3A9034D2B5}" uniqueName="3" name="Taille liste Tabou" queryTableFieldId="3"/>
    <tableColumn id="4" xr3:uid="{A6821D9B-C4C0-45AB-8C51-8A1AA531C928}" uniqueName="4" name="Poids MAx" queryTableFieldId="4"/>
    <tableColumn id="5" xr3:uid="{AB30F200-5AEB-494A-966E-4C05D04DB99B}" uniqueName="5" name="Total weight" queryTableFieldId="5"/>
    <tableColumn id="6" xr3:uid="{920A8653-3506-4FF9-91F0-1E0EC46C38D4}" uniqueName="6" name="Total profit" queryTableFieldId="6"/>
    <tableColumn id="7" xr3:uid="{6187F70B-1DF7-4563-B58C-828F8F5872CB}" uniqueName="7" name="Temps d'execution" queryTableFieldId="7" dataDxfId="34"/>
    <tableColumn id="8" xr3:uid="{45D84639-191E-4607-9D6E-3E2880E31D26}" uniqueName="8" name="Fichier solution" queryTableFieldId="8" dataDxfId="33"/>
    <tableColumn id="9" xr3:uid="{BD93B8C2-F526-4A5A-8EBF-168637DE91E0}" uniqueName="9" name="tps_nb" queryTableFieldId="10" dataDxfId="8">
      <calculatedColumnFormula>IF(ISNUMBER(G2), G2, SUBSTITUTE(G2, ".", ",")*1)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CFC6EC-FFBB-44CF-829B-EE2A632E3851}" name="results_1_fusionné" displayName="results_1_fusionné" ref="A1:I51" tableType="queryTable" totalsRowShown="0">
  <autoFilter ref="A1:I51" xr:uid="{43CFC6EC-FFBB-44CF-829B-EE2A632E3851}"/>
  <tableColumns count="9">
    <tableColumn id="1" xr3:uid="{FD6C3669-F7E2-49FC-8FC0-8CA879ADB845}" uniqueName="1" name="Nom de la base" queryTableFieldId="1" dataDxfId="32"/>
    <tableColumn id="2" xr3:uid="{B3208563-BC9E-452B-836E-295D6D08B59C}" uniqueName="2" name="Nombre d'iteration" queryTableFieldId="2"/>
    <tableColumn id="3" xr3:uid="{F816EC79-508C-4C72-925E-A0BCA136F401}" uniqueName="3" name="Taille liste Tabou" queryTableFieldId="3"/>
    <tableColumn id="4" xr3:uid="{F48985C5-AACB-4827-BE31-C859AA919EB4}" uniqueName="4" name="Poids MAx" queryTableFieldId="4"/>
    <tableColumn id="5" xr3:uid="{5CB13B4B-EFF8-49D2-9B6B-077A09EE50A0}" uniqueName="5" name="Total weight" queryTableFieldId="5"/>
    <tableColumn id="6" xr3:uid="{16354210-500B-45EF-94D1-06285248E712}" uniqueName="6" name="Total profit" queryTableFieldId="6"/>
    <tableColumn id="7" xr3:uid="{38CCC603-221D-43C3-96DB-B17889B97D7E}" uniqueName="7" name="Temps d'execution" queryTableFieldId="7" dataDxfId="31"/>
    <tableColumn id="8" xr3:uid="{53024F5A-C15D-42A7-8AF1-71457379B8DB}" uniqueName="8" name="Fichier solution" queryTableFieldId="8" dataDxfId="30"/>
    <tableColumn id="9" xr3:uid="{B6E04DA4-0C84-4904-A8C4-45B831CEF8D7}" uniqueName="9" name="tps_nb" queryTableFieldId="9" dataDxfId="7">
      <calculatedColumnFormula>IF(ISNUMBER(G2), G2, SUBSTITUTE(G2, ".", ",")*1)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B785C3-6946-4B57-B259-4EFB8F34ABFB}" name="results_2_fusionné" displayName="results_2_fusionné" ref="A1:I51" tableType="queryTable" totalsRowShown="0">
  <autoFilter ref="A1:I51" xr:uid="{1AB785C3-6946-4B57-B259-4EFB8F34ABFB}"/>
  <sortState xmlns:xlrd2="http://schemas.microsoft.com/office/spreadsheetml/2017/richdata2" ref="A2:H51">
    <sortCondition ref="B1:B51"/>
  </sortState>
  <tableColumns count="9">
    <tableColumn id="1" xr3:uid="{41534DE2-903A-4473-B705-B0364E37CDBA}" uniqueName="1" name="Nom de la base" queryTableFieldId="1" dataDxfId="11"/>
    <tableColumn id="2" xr3:uid="{621EA396-AD2F-4E6E-99DF-559D975A6ECB}" uniqueName="2" name="Nombre d'iteration" queryTableFieldId="2"/>
    <tableColumn id="3" xr3:uid="{1C8A0195-AA67-4A06-8D50-B165A0E2F2FB}" uniqueName="3" name="Taille liste Tabou" queryTableFieldId="3"/>
    <tableColumn id="4" xr3:uid="{2E11B2DD-4361-4669-9264-437685513440}" uniqueName="4" name="Poids MAx" queryTableFieldId="4"/>
    <tableColumn id="5" xr3:uid="{D4B9473C-6C05-4039-A860-251D919426EA}" uniqueName="5" name="Total weight" queryTableFieldId="5"/>
    <tableColumn id="6" xr3:uid="{A4DCEF6C-DFF5-40A0-BE31-B8C547B0B075}" uniqueName="6" name="Total profit" queryTableFieldId="6"/>
    <tableColumn id="7" xr3:uid="{3114A4A6-0271-4F9E-B473-54DBB9582CB0}" uniqueName="7" name="Temps d'execution" queryTableFieldId="7" dataDxfId="10"/>
    <tableColumn id="8" xr3:uid="{DC996B7E-A69B-497A-B321-6423CE86749D}" uniqueName="8" name="Fichier solution" queryTableFieldId="8" dataDxfId="9"/>
    <tableColumn id="9" xr3:uid="{D3A5D5C4-D01A-4083-B8AE-3B22D9F12064}" uniqueName="9" name="tps_nb" queryTableFieldId="10" dataDxfId="6">
      <calculatedColumnFormula>IF(ISNUMBER(G2), G2, SUBSTITUTE(G2, ".", ",")*1)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5ADF39-887E-4CF5-BADB-B72D71C177B0}" name="results_3_fusionné" displayName="results_3_fusionné" ref="A1:I51" tableType="queryTable" totalsRowShown="0">
  <autoFilter ref="A1:I51" xr:uid="{D55ADF39-887E-4CF5-BADB-B72D71C177B0}"/>
  <tableColumns count="9">
    <tableColumn id="1" xr3:uid="{09DB2A32-FEA1-47A4-9CC9-11D3D7F3FD7F}" uniqueName="1" name="Nom de la base" queryTableFieldId="1" dataDxfId="29"/>
    <tableColumn id="2" xr3:uid="{7E3B9636-4DB1-4C33-A863-2435B8FAE579}" uniqueName="2" name="Nombre d'iteration" queryTableFieldId="2"/>
    <tableColumn id="3" xr3:uid="{92783AD4-05B3-4CAD-B224-6FFD3321695A}" uniqueName="3" name="Taille liste Tabou" queryTableFieldId="3"/>
    <tableColumn id="4" xr3:uid="{7DCD9654-79D2-451F-B499-6FEF258B5EF2}" uniqueName="4" name="Poids MAx" queryTableFieldId="4"/>
    <tableColumn id="5" xr3:uid="{CF6BB47F-67A0-46CB-AAEA-3A3A6D958072}" uniqueName="5" name="Total weight" queryTableFieldId="5"/>
    <tableColumn id="6" xr3:uid="{2085D14B-3DE2-4F10-9666-871DBE912FDC}" uniqueName="6" name="Total profit" queryTableFieldId="6"/>
    <tableColumn id="7" xr3:uid="{100F3910-D40F-408C-913C-4CBCCDC94364}" uniqueName="7" name="Temps d'execution" queryTableFieldId="7" dataDxfId="28"/>
    <tableColumn id="8" xr3:uid="{872C6BDE-F487-4830-9B39-DEC1022AE5CB}" uniqueName="8" name="Fichier solution" queryTableFieldId="8" dataDxfId="27"/>
    <tableColumn id="9" xr3:uid="{CC0A21A5-F45F-40F2-A06D-2CA4C98C70DD}" uniqueName="9" name="tps_nb" queryTableFieldId="9" dataDxfId="5">
      <calculatedColumnFormula>IF(ISNUMBER(G2), G2, SUBSTITUTE(G2, ".", ",")*1)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D91F46-8731-427B-BE22-CD116A7BE60B}" name="results_4_fusionné" displayName="results_4_fusionné" ref="A1:I51" tableType="queryTable" totalsRowShown="0">
  <autoFilter ref="A1:I51" xr:uid="{1DD91F46-8731-427B-BE22-CD116A7BE60B}"/>
  <tableColumns count="9">
    <tableColumn id="1" xr3:uid="{26411B77-64EB-4D57-9632-3FCCA872D4AA}" uniqueName="1" name="Nom de la base" queryTableFieldId="1" dataDxfId="26"/>
    <tableColumn id="2" xr3:uid="{34F574AE-0DE7-4811-9123-E48DC098CDDE}" uniqueName="2" name="Nombre d'iteration" queryTableFieldId="2"/>
    <tableColumn id="3" xr3:uid="{62D7E81F-6511-4457-B480-639774FAE2A6}" uniqueName="3" name="Taille liste Tabou" queryTableFieldId="3"/>
    <tableColumn id="4" xr3:uid="{E4454227-4DB0-4E09-AF48-57C3D3123E68}" uniqueName="4" name="Poids MAx" queryTableFieldId="4"/>
    <tableColumn id="5" xr3:uid="{079BEE32-04C2-48BF-BF7E-3833BCBA553F}" uniqueName="5" name="Total weight" queryTableFieldId="5"/>
    <tableColumn id="6" xr3:uid="{6D7C1739-5362-4CCA-9634-EA7C43C77A88}" uniqueName="6" name="Total profit" queryTableFieldId="6"/>
    <tableColumn id="7" xr3:uid="{84C7AC1E-AE61-4AE2-A246-FC7AA306B905}" uniqueName="7" name="Temps d'execution" queryTableFieldId="7" dataDxfId="25"/>
    <tableColumn id="8" xr3:uid="{9EA246EE-F1FF-4153-AF6A-81E50D394545}" uniqueName="8" name="Fichier solution" queryTableFieldId="8" dataDxfId="24"/>
    <tableColumn id="9" xr3:uid="{38FDC6A6-A18D-475F-816D-092DF6F5C035}" uniqueName="9" name="tps_nb" queryTableFieldId="9" dataDxfId="4">
      <calculatedColumnFormula>IF(ISNUMBER(G2), G2, SUBSTITUTE(G2, ".", ",")*1)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A22A82-AE61-4C31-8867-4B945FBAB30A}" name="results_5_fusionné" displayName="results_5_fusionné" ref="A1:I51" tableType="queryTable" totalsRowShown="0">
  <autoFilter ref="A1:I51" xr:uid="{68A22A82-AE61-4C31-8867-4B945FBAB30A}"/>
  <tableColumns count="9">
    <tableColumn id="1" xr3:uid="{C14A1360-123C-4A28-930D-CB40F5ED3E12}" uniqueName="1" name="Nom de la base" queryTableFieldId="1" dataDxfId="23"/>
    <tableColumn id="2" xr3:uid="{A4542041-F243-4592-8A89-8995F892F5CC}" uniqueName="2" name="Nombre d'iteration" queryTableFieldId="2"/>
    <tableColumn id="3" xr3:uid="{EA9F41AA-E759-409A-9BE1-5AFA7742E2FE}" uniqueName="3" name="Taille liste Tabou" queryTableFieldId="3"/>
    <tableColumn id="4" xr3:uid="{F3BA5CA3-BE6C-497F-B735-30B4492ADD76}" uniqueName="4" name="Poids MAx" queryTableFieldId="4"/>
    <tableColumn id="5" xr3:uid="{41E4A329-E788-41C6-A0E0-F9F98AD9A475}" uniqueName="5" name="Total weight" queryTableFieldId="5"/>
    <tableColumn id="6" xr3:uid="{8D89B817-2A9B-4DC3-B973-DED500B1DEBB}" uniqueName="6" name="Total profit" queryTableFieldId="6"/>
    <tableColumn id="7" xr3:uid="{10B2510E-9A4F-4565-821E-E9E5805CB2E8}" uniqueName="7" name="Temps d'execution" queryTableFieldId="7" dataDxfId="22"/>
    <tableColumn id="8" xr3:uid="{EE25CBA8-F56B-426F-87DF-1A26CE746C6F}" uniqueName="8" name="Fichier solution" queryTableFieldId="8" dataDxfId="21"/>
    <tableColumn id="9" xr3:uid="{3916A692-F456-4C8F-BA55-006523528232}" uniqueName="9" name="tps_nb" queryTableFieldId="9" dataDxfId="3">
      <calculatedColumnFormula>IF(ISNUMBER(G2), G2, SUBSTITUTE(G2, ".", ",")*1)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59B2C5E-042C-444E-9877-EC44F4ACF6B7}" name="results_6_fusionné" displayName="results_6_fusionné" ref="A1:I51" tableType="queryTable" totalsRowShown="0">
  <autoFilter ref="A1:I51" xr:uid="{E59B2C5E-042C-444E-9877-EC44F4ACF6B7}"/>
  <tableColumns count="9">
    <tableColumn id="1" xr3:uid="{9D201F90-C7A3-41E9-B074-3423E94B5084}" uniqueName="1" name="Nom de la base" queryTableFieldId="1" dataDxfId="20"/>
    <tableColumn id="2" xr3:uid="{428DC1A8-C0C0-498E-96F4-65B19963A0F4}" uniqueName="2" name="Nombre d'iteration" queryTableFieldId="2"/>
    <tableColumn id="3" xr3:uid="{706700C5-B5E5-40CF-9183-FEC31464BA2B}" uniqueName="3" name="Taille liste Tabou" queryTableFieldId="3"/>
    <tableColumn id="4" xr3:uid="{D52C772A-72BC-4689-872B-42D65CB51D0B}" uniqueName="4" name="Poids MAx" queryTableFieldId="4"/>
    <tableColumn id="5" xr3:uid="{5FD91E9C-BC23-4239-9275-5DC8513D9C3F}" uniqueName="5" name="Total weight" queryTableFieldId="5"/>
    <tableColumn id="6" xr3:uid="{FC565205-23F4-4D3E-BF0D-E4E389586CB3}" uniqueName="6" name="Total profit" queryTableFieldId="6"/>
    <tableColumn id="7" xr3:uid="{DCB9E3AA-6926-4908-B260-C18F326AFDCD}" uniqueName="7" name="Temps d'execution" queryTableFieldId="7" dataDxfId="19"/>
    <tableColumn id="8" xr3:uid="{BB83BE02-E9B5-4D02-AFE2-47EDDCC45B97}" uniqueName="8" name="Fichier solution" queryTableFieldId="8" dataDxfId="18"/>
    <tableColumn id="9" xr3:uid="{C7EE365C-F174-4921-98E5-D200C54C4993}" uniqueName="9" name="tps_nb" queryTableFieldId="9" dataDxfId="2">
      <calculatedColumnFormula>IF(ISNUMBER(G2), G2, SUBSTITUTE(G2, ".", ",")*1)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94491EA-AD2F-4FB3-9A2F-C78C86AE4A82}" name="results_7_fusionné" displayName="results_7_fusionné" ref="A1:I51" tableType="queryTable" totalsRowShown="0">
  <autoFilter ref="A1:I51" xr:uid="{994491EA-AD2F-4FB3-9A2F-C78C86AE4A82}"/>
  <tableColumns count="9">
    <tableColumn id="1" xr3:uid="{44125F3D-E2A4-4EFA-A91D-EFD518864A9C}" uniqueName="1" name="Nom de la base" queryTableFieldId="1" dataDxfId="17"/>
    <tableColumn id="2" xr3:uid="{421375E4-284D-4DD5-A28A-18B3D05DE389}" uniqueName="2" name="Nombre d'iteration" queryTableFieldId="2"/>
    <tableColumn id="3" xr3:uid="{19DB29EE-A1A9-40AB-A747-1E61571CB7C1}" uniqueName="3" name="Taille liste Tabou" queryTableFieldId="3"/>
    <tableColumn id="4" xr3:uid="{EBD78244-6A8D-4957-8D4C-8F43FB7D7FF5}" uniqueName="4" name="Poids MAx" queryTableFieldId="4"/>
    <tableColumn id="5" xr3:uid="{8208C888-DBE8-454D-8F40-3A280CA82587}" uniqueName="5" name="Total weight" queryTableFieldId="5"/>
    <tableColumn id="6" xr3:uid="{F1B0FCDD-0C7E-4FCF-A4A2-0216902FF005}" uniqueName="6" name="Total profit" queryTableFieldId="6"/>
    <tableColumn id="7" xr3:uid="{3EF65EDA-147F-4DDC-8DB9-B8807388BD5A}" uniqueName="7" name="Temps d'execution" queryTableFieldId="7" dataDxfId="16"/>
    <tableColumn id="8" xr3:uid="{00045794-26D4-4C4C-98B2-FFD34E7F3F22}" uniqueName="8" name="Fichier solution" queryTableFieldId="8" dataDxfId="15"/>
    <tableColumn id="9" xr3:uid="{FF88E67B-C03C-4746-BA7A-EEDDE986DBB3}" uniqueName="9" name="tps_nb" queryTableFieldId="9" dataDxfId="1">
      <calculatedColumnFormula>IF(ISNUMBER(G2), G2, SUBSTITUTE(G2, ".", ",")*1)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5FEE280-C6E5-42DE-BC30-9F4919AC6066}" name="results_8_fusionné" displayName="results_8_fusionné" ref="A1:I51" tableType="queryTable" totalsRowShown="0">
  <autoFilter ref="A1:I51" xr:uid="{B5FEE280-C6E5-42DE-BC30-9F4919AC6066}"/>
  <tableColumns count="9">
    <tableColumn id="1" xr3:uid="{89D33624-CC16-4F75-8457-A0FF77526CDC}" uniqueName="1" name="Nom de la base" queryTableFieldId="1" dataDxfId="14"/>
    <tableColumn id="2" xr3:uid="{AF08CDF9-29A3-40F1-98EE-D2545B1A0C7F}" uniqueName="2" name="Nombre d'iteration" queryTableFieldId="2"/>
    <tableColumn id="3" xr3:uid="{BEBCF21C-A0E3-41F6-90D7-3A3F39348712}" uniqueName="3" name="Taille liste Tabou" queryTableFieldId="3"/>
    <tableColumn id="4" xr3:uid="{7D971037-CA99-4B94-A201-A716AF2D010D}" uniqueName="4" name="Poids MAx" queryTableFieldId="4"/>
    <tableColumn id="5" xr3:uid="{061B52FF-EA68-4128-B58D-34579445100C}" uniqueName="5" name="Total weight" queryTableFieldId="5"/>
    <tableColumn id="6" xr3:uid="{31BC8ABB-E4F9-4A0A-90AD-14E223E31E07}" uniqueName="6" name="Total profit" queryTableFieldId="6"/>
    <tableColumn id="7" xr3:uid="{C68E7F31-B7C6-49F9-BF1F-2388F676F61C}" uniqueName="7" name="Temps d'execution" queryTableFieldId="7" dataDxfId="13"/>
    <tableColumn id="8" xr3:uid="{F98E130F-DE8F-4697-8148-1BDA4E841C72}" uniqueName="8" name="Fichier solution" queryTableFieldId="8" dataDxfId="12"/>
    <tableColumn id="9" xr3:uid="{C8F2AFC3-A303-401F-A467-9A516F1C4A72}" uniqueName="9" name="tps_nb" queryTableFieldId="9" dataDxfId="0">
      <calculatedColumnFormula>IF(ISNUMBER(G2), G2, SUBSTITUTE(G2, ".", ",")*1)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4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4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1BBCE-65C3-4A33-922B-B9304F69DC68}">
  <dimension ref="A1:I83"/>
  <sheetViews>
    <sheetView topLeftCell="A61" workbookViewId="0">
      <selection activeCell="G54" sqref="G54"/>
    </sheetView>
  </sheetViews>
  <sheetFormatPr baseColWidth="10" defaultRowHeight="14.4" x14ac:dyDescent="0.3"/>
  <cols>
    <col min="1" max="1" width="19.5546875" bestFit="1" customWidth="1"/>
    <col min="2" max="2" width="20.21875" bestFit="1" customWidth="1"/>
    <col min="3" max="3" width="16.77734375" bestFit="1" customWidth="1"/>
    <col min="4" max="4" width="11.6640625" bestFit="1" customWidth="1"/>
    <col min="5" max="5" width="13.109375" bestFit="1" customWidth="1"/>
    <col min="6" max="6" width="12.21875" bestFit="1" customWidth="1"/>
    <col min="7" max="7" width="18.88671875" bestFit="1" customWidth="1"/>
    <col min="8" max="8" width="60.5546875" bestFit="1" customWidth="1"/>
    <col min="9" max="9" width="16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876</v>
      </c>
    </row>
    <row r="2" spans="1:9" x14ac:dyDescent="0.3">
      <c r="A2" t="s">
        <v>8</v>
      </c>
      <c r="B2">
        <v>10</v>
      </c>
      <c r="C2">
        <v>1</v>
      </c>
      <c r="D2">
        <v>970</v>
      </c>
      <c r="E2">
        <v>970</v>
      </c>
      <c r="F2">
        <v>970</v>
      </c>
      <c r="G2" t="s">
        <v>48</v>
      </c>
      <c r="H2" t="s">
        <v>49</v>
      </c>
      <c r="I2">
        <f>IF(ISNUMBER(G2), G2, SUBSTITUTE(G2, ".", ",")*1)</f>
        <v>9.5582008361809999E-4</v>
      </c>
    </row>
    <row r="3" spans="1:9" x14ac:dyDescent="0.3">
      <c r="A3" t="s">
        <v>8</v>
      </c>
      <c r="B3">
        <v>10</v>
      </c>
      <c r="C3">
        <v>5</v>
      </c>
      <c r="D3">
        <v>970</v>
      </c>
      <c r="E3">
        <v>970</v>
      </c>
      <c r="F3">
        <v>970</v>
      </c>
      <c r="G3" t="s">
        <v>15</v>
      </c>
      <c r="H3" t="s">
        <v>54</v>
      </c>
      <c r="I3">
        <f t="shared" ref="I2:I33" si="0">IF(ISNUMBER(G3), G3, SUBSTITUTE(G3, ".", ",")*1)</f>
        <v>0</v>
      </c>
    </row>
    <row r="4" spans="1:9" x14ac:dyDescent="0.3">
      <c r="A4" t="s">
        <v>8</v>
      </c>
      <c r="B4">
        <v>10</v>
      </c>
      <c r="C4">
        <v>10</v>
      </c>
      <c r="D4">
        <v>970</v>
      </c>
      <c r="E4">
        <v>908</v>
      </c>
      <c r="F4">
        <v>880</v>
      </c>
      <c r="G4" t="s">
        <v>50</v>
      </c>
      <c r="H4" t="s">
        <v>51</v>
      </c>
      <c r="I4">
        <f t="shared" si="0"/>
        <v>1.0323524475096999E-3</v>
      </c>
    </row>
    <row r="5" spans="1:9" x14ac:dyDescent="0.3">
      <c r="A5" t="s">
        <v>8</v>
      </c>
      <c r="B5">
        <v>10</v>
      </c>
      <c r="C5">
        <v>15</v>
      </c>
      <c r="D5">
        <v>970</v>
      </c>
      <c r="E5">
        <v>970</v>
      </c>
      <c r="F5">
        <v>970</v>
      </c>
      <c r="G5" t="s">
        <v>15</v>
      </c>
      <c r="H5" t="s">
        <v>52</v>
      </c>
      <c r="I5">
        <f t="shared" si="0"/>
        <v>0</v>
      </c>
    </row>
    <row r="6" spans="1:9" x14ac:dyDescent="0.3">
      <c r="A6" t="s">
        <v>8</v>
      </c>
      <c r="B6">
        <v>10</v>
      </c>
      <c r="C6">
        <v>20</v>
      </c>
      <c r="D6">
        <v>970</v>
      </c>
      <c r="E6">
        <v>970</v>
      </c>
      <c r="F6">
        <v>970</v>
      </c>
      <c r="G6" t="s">
        <v>15</v>
      </c>
      <c r="H6" t="s">
        <v>53</v>
      </c>
      <c r="I6">
        <f t="shared" si="0"/>
        <v>0</v>
      </c>
    </row>
    <row r="7" spans="1:9" x14ac:dyDescent="0.3">
      <c r="A7" t="s">
        <v>8</v>
      </c>
      <c r="B7">
        <v>100</v>
      </c>
      <c r="C7">
        <v>1</v>
      </c>
      <c r="D7">
        <v>970</v>
      </c>
      <c r="E7">
        <v>951</v>
      </c>
      <c r="F7">
        <v>811</v>
      </c>
      <c r="G7" t="s">
        <v>39</v>
      </c>
      <c r="H7" t="s">
        <v>40</v>
      </c>
      <c r="I7">
        <f t="shared" si="0"/>
        <v>2.2315979003905998E-3</v>
      </c>
    </row>
    <row r="8" spans="1:9" x14ac:dyDescent="0.3">
      <c r="A8" t="s">
        <v>8</v>
      </c>
      <c r="B8">
        <v>100</v>
      </c>
      <c r="C8">
        <v>5</v>
      </c>
      <c r="D8">
        <v>970</v>
      </c>
      <c r="E8">
        <v>970</v>
      </c>
      <c r="F8">
        <v>970</v>
      </c>
      <c r="G8" t="s">
        <v>46</v>
      </c>
      <c r="H8" t="s">
        <v>47</v>
      </c>
      <c r="I8">
        <f t="shared" si="0"/>
        <v>3.1309127807617001E-3</v>
      </c>
    </row>
    <row r="9" spans="1:9" x14ac:dyDescent="0.3">
      <c r="A9" t="s">
        <v>8</v>
      </c>
      <c r="B9">
        <v>100</v>
      </c>
      <c r="C9">
        <v>10</v>
      </c>
      <c r="D9">
        <v>970</v>
      </c>
      <c r="E9">
        <v>970</v>
      </c>
      <c r="F9">
        <v>970</v>
      </c>
      <c r="G9" t="s">
        <v>41</v>
      </c>
      <c r="H9" t="s">
        <v>42</v>
      </c>
      <c r="I9">
        <f t="shared" si="0"/>
        <v>1.1491775512695E-3</v>
      </c>
    </row>
    <row r="10" spans="1:9" x14ac:dyDescent="0.3">
      <c r="A10" t="s">
        <v>8</v>
      </c>
      <c r="B10">
        <v>100</v>
      </c>
      <c r="C10">
        <v>15</v>
      </c>
      <c r="D10">
        <v>970</v>
      </c>
      <c r="E10">
        <v>943</v>
      </c>
      <c r="F10">
        <v>887</v>
      </c>
      <c r="G10" t="s">
        <v>43</v>
      </c>
      <c r="H10" t="s">
        <v>44</v>
      </c>
      <c r="I10">
        <f t="shared" si="0"/>
        <v>1.9998550415039002E-3</v>
      </c>
    </row>
    <row r="11" spans="1:9" x14ac:dyDescent="0.3">
      <c r="A11" t="s">
        <v>8</v>
      </c>
      <c r="B11">
        <v>100</v>
      </c>
      <c r="C11">
        <v>20</v>
      </c>
      <c r="D11">
        <v>970</v>
      </c>
      <c r="E11">
        <v>970</v>
      </c>
      <c r="F11">
        <v>970</v>
      </c>
      <c r="G11" t="s">
        <v>15</v>
      </c>
      <c r="H11" t="s">
        <v>45</v>
      </c>
      <c r="I11">
        <f t="shared" si="0"/>
        <v>0</v>
      </c>
    </row>
    <row r="12" spans="1:9" x14ac:dyDescent="0.3">
      <c r="A12" t="s">
        <v>8</v>
      </c>
      <c r="B12">
        <v>500</v>
      </c>
      <c r="C12">
        <v>1</v>
      </c>
      <c r="D12">
        <v>970</v>
      </c>
      <c r="E12">
        <v>924</v>
      </c>
      <c r="F12">
        <v>728</v>
      </c>
      <c r="G12" t="s">
        <v>82</v>
      </c>
      <c r="H12" t="s">
        <v>83</v>
      </c>
      <c r="I12">
        <f t="shared" si="0"/>
        <v>1.2030363082885701E-2</v>
      </c>
    </row>
    <row r="13" spans="1:9" x14ac:dyDescent="0.3">
      <c r="A13" t="s">
        <v>8</v>
      </c>
      <c r="B13">
        <v>500</v>
      </c>
      <c r="C13">
        <v>5</v>
      </c>
      <c r="D13">
        <v>970</v>
      </c>
      <c r="E13">
        <v>970</v>
      </c>
      <c r="F13">
        <v>970</v>
      </c>
      <c r="G13" t="s">
        <v>15</v>
      </c>
      <c r="H13" t="s">
        <v>88</v>
      </c>
      <c r="I13">
        <f t="shared" si="0"/>
        <v>0</v>
      </c>
    </row>
    <row r="14" spans="1:9" x14ac:dyDescent="0.3">
      <c r="A14" t="s">
        <v>8</v>
      </c>
      <c r="B14">
        <v>500</v>
      </c>
      <c r="C14">
        <v>10</v>
      </c>
      <c r="D14">
        <v>970</v>
      </c>
      <c r="E14">
        <v>970</v>
      </c>
      <c r="F14">
        <v>970</v>
      </c>
      <c r="G14" t="s">
        <v>15</v>
      </c>
      <c r="H14" t="s">
        <v>84</v>
      </c>
      <c r="I14">
        <f t="shared" si="0"/>
        <v>0</v>
      </c>
    </row>
    <row r="15" spans="1:9" x14ac:dyDescent="0.3">
      <c r="A15" t="s">
        <v>8</v>
      </c>
      <c r="B15">
        <v>500</v>
      </c>
      <c r="C15">
        <v>15</v>
      </c>
      <c r="D15">
        <v>970</v>
      </c>
      <c r="E15">
        <v>970</v>
      </c>
      <c r="F15">
        <v>970</v>
      </c>
      <c r="G15" t="s">
        <v>15</v>
      </c>
      <c r="H15" t="s">
        <v>85</v>
      </c>
      <c r="I15">
        <f t="shared" si="0"/>
        <v>0</v>
      </c>
    </row>
    <row r="16" spans="1:9" x14ac:dyDescent="0.3">
      <c r="A16" t="s">
        <v>8</v>
      </c>
      <c r="B16">
        <v>500</v>
      </c>
      <c r="C16">
        <v>20</v>
      </c>
      <c r="D16">
        <v>970</v>
      </c>
      <c r="E16">
        <v>970</v>
      </c>
      <c r="F16">
        <v>970</v>
      </c>
      <c r="G16" t="s">
        <v>86</v>
      </c>
      <c r="H16" t="s">
        <v>87</v>
      </c>
      <c r="I16">
        <f t="shared" si="0"/>
        <v>1.1489391326904E-3</v>
      </c>
    </row>
    <row r="17" spans="1:9" x14ac:dyDescent="0.3">
      <c r="A17" t="s">
        <v>8</v>
      </c>
      <c r="B17">
        <v>1000</v>
      </c>
      <c r="C17">
        <v>1</v>
      </c>
      <c r="D17">
        <v>970</v>
      </c>
      <c r="E17">
        <v>970</v>
      </c>
      <c r="F17">
        <v>970</v>
      </c>
      <c r="G17" t="s">
        <v>32</v>
      </c>
      <c r="H17" t="s">
        <v>33</v>
      </c>
      <c r="I17">
        <f t="shared" si="0"/>
        <v>2.8321027755737301E-2</v>
      </c>
    </row>
    <row r="18" spans="1:9" x14ac:dyDescent="0.3">
      <c r="A18" t="s">
        <v>8</v>
      </c>
      <c r="B18">
        <v>1000</v>
      </c>
      <c r="C18">
        <v>5</v>
      </c>
      <c r="D18">
        <v>970</v>
      </c>
      <c r="E18">
        <v>970</v>
      </c>
      <c r="F18">
        <v>970</v>
      </c>
      <c r="G18" t="s">
        <v>37</v>
      </c>
      <c r="H18" t="s">
        <v>38</v>
      </c>
      <c r="I18">
        <f t="shared" si="0"/>
        <v>9.9873542785639999E-4</v>
      </c>
    </row>
    <row r="19" spans="1:9" x14ac:dyDescent="0.3">
      <c r="A19" t="s">
        <v>8</v>
      </c>
      <c r="B19">
        <v>1000</v>
      </c>
      <c r="C19">
        <v>10</v>
      </c>
      <c r="D19">
        <v>970</v>
      </c>
      <c r="E19">
        <v>970</v>
      </c>
      <c r="F19">
        <v>970</v>
      </c>
      <c r="G19" t="s">
        <v>15</v>
      </c>
      <c r="H19" t="s">
        <v>34</v>
      </c>
      <c r="I19">
        <f t="shared" si="0"/>
        <v>0</v>
      </c>
    </row>
    <row r="20" spans="1:9" x14ac:dyDescent="0.3">
      <c r="A20" t="s">
        <v>8</v>
      </c>
      <c r="B20">
        <v>1000</v>
      </c>
      <c r="C20">
        <v>15</v>
      </c>
      <c r="D20">
        <v>970</v>
      </c>
      <c r="E20">
        <v>970</v>
      </c>
      <c r="F20">
        <v>970</v>
      </c>
      <c r="G20" t="s">
        <v>15</v>
      </c>
      <c r="H20" t="s">
        <v>35</v>
      </c>
      <c r="I20">
        <f t="shared" si="0"/>
        <v>0</v>
      </c>
    </row>
    <row r="21" spans="1:9" x14ac:dyDescent="0.3">
      <c r="A21" t="s">
        <v>8</v>
      </c>
      <c r="B21">
        <v>1000</v>
      </c>
      <c r="C21">
        <v>20</v>
      </c>
      <c r="D21">
        <v>970</v>
      </c>
      <c r="E21">
        <v>970</v>
      </c>
      <c r="F21">
        <v>970</v>
      </c>
      <c r="G21" t="s">
        <v>15</v>
      </c>
      <c r="H21" t="s">
        <v>36</v>
      </c>
      <c r="I21">
        <f t="shared" si="0"/>
        <v>0</v>
      </c>
    </row>
    <row r="22" spans="1:9" x14ac:dyDescent="0.3">
      <c r="A22" t="s">
        <v>8</v>
      </c>
      <c r="B22">
        <v>5000</v>
      </c>
      <c r="C22">
        <v>1</v>
      </c>
      <c r="D22">
        <v>970</v>
      </c>
      <c r="E22">
        <v>970</v>
      </c>
      <c r="F22">
        <v>970</v>
      </c>
      <c r="G22" t="s">
        <v>73</v>
      </c>
      <c r="H22" t="s">
        <v>74</v>
      </c>
      <c r="I22">
        <f t="shared" si="0"/>
        <v>0.114289760589599</v>
      </c>
    </row>
    <row r="23" spans="1:9" x14ac:dyDescent="0.3">
      <c r="A23" t="s">
        <v>8</v>
      </c>
      <c r="B23">
        <v>5000</v>
      </c>
      <c r="C23">
        <v>5</v>
      </c>
      <c r="D23">
        <v>970</v>
      </c>
      <c r="E23">
        <v>970</v>
      </c>
      <c r="F23">
        <v>970</v>
      </c>
      <c r="G23" t="s">
        <v>80</v>
      </c>
      <c r="H23" t="s">
        <v>81</v>
      </c>
      <c r="I23">
        <f t="shared" si="0"/>
        <v>0.13153266906738201</v>
      </c>
    </row>
    <row r="24" spans="1:9" x14ac:dyDescent="0.3">
      <c r="A24" t="s">
        <v>8</v>
      </c>
      <c r="B24">
        <v>5000</v>
      </c>
      <c r="C24">
        <v>10</v>
      </c>
      <c r="D24">
        <v>970</v>
      </c>
      <c r="E24">
        <v>970</v>
      </c>
      <c r="F24">
        <v>970</v>
      </c>
      <c r="G24" t="s">
        <v>75</v>
      </c>
      <c r="H24" t="s">
        <v>76</v>
      </c>
      <c r="I24">
        <f t="shared" si="0"/>
        <v>1.0011196136474E-3</v>
      </c>
    </row>
    <row r="25" spans="1:9" x14ac:dyDescent="0.3">
      <c r="A25" t="s">
        <v>8</v>
      </c>
      <c r="B25">
        <v>5000</v>
      </c>
      <c r="C25">
        <v>15</v>
      </c>
      <c r="D25">
        <v>970</v>
      </c>
      <c r="E25">
        <v>970</v>
      </c>
      <c r="F25">
        <v>970</v>
      </c>
      <c r="G25" t="s">
        <v>15</v>
      </c>
      <c r="H25" t="s">
        <v>77</v>
      </c>
      <c r="I25">
        <f t="shared" si="0"/>
        <v>0</v>
      </c>
    </row>
    <row r="26" spans="1:9" x14ac:dyDescent="0.3">
      <c r="A26" t="s">
        <v>8</v>
      </c>
      <c r="B26">
        <v>5000</v>
      </c>
      <c r="C26">
        <v>20</v>
      </c>
      <c r="D26">
        <v>970</v>
      </c>
      <c r="E26">
        <v>970</v>
      </c>
      <c r="F26">
        <v>970</v>
      </c>
      <c r="G26" t="s">
        <v>78</v>
      </c>
      <c r="H26" t="s">
        <v>79</v>
      </c>
      <c r="I26">
        <f t="shared" si="0"/>
        <v>1.0344982147216001E-3</v>
      </c>
    </row>
    <row r="27" spans="1:9" x14ac:dyDescent="0.3">
      <c r="A27" t="s">
        <v>8</v>
      </c>
      <c r="B27">
        <v>10000</v>
      </c>
      <c r="C27">
        <v>1</v>
      </c>
      <c r="D27">
        <v>970</v>
      </c>
      <c r="E27">
        <v>970</v>
      </c>
      <c r="F27">
        <v>970</v>
      </c>
      <c r="G27" t="s">
        <v>25</v>
      </c>
      <c r="H27" t="s">
        <v>26</v>
      </c>
      <c r="I27">
        <f t="shared" si="0"/>
        <v>0.28354763984680098</v>
      </c>
    </row>
    <row r="28" spans="1:9" x14ac:dyDescent="0.3">
      <c r="A28" t="s">
        <v>8</v>
      </c>
      <c r="B28">
        <v>10000</v>
      </c>
      <c r="C28">
        <v>5</v>
      </c>
      <c r="D28">
        <v>970</v>
      </c>
      <c r="E28">
        <v>970</v>
      </c>
      <c r="F28">
        <v>970</v>
      </c>
      <c r="G28" t="s">
        <v>15</v>
      </c>
      <c r="H28" t="s">
        <v>31</v>
      </c>
      <c r="I28">
        <f t="shared" si="0"/>
        <v>0</v>
      </c>
    </row>
    <row r="29" spans="1:9" x14ac:dyDescent="0.3">
      <c r="A29" t="s">
        <v>8</v>
      </c>
      <c r="B29">
        <v>10000</v>
      </c>
      <c r="C29">
        <v>10</v>
      </c>
      <c r="D29">
        <v>970</v>
      </c>
      <c r="E29">
        <v>970</v>
      </c>
      <c r="F29">
        <v>970</v>
      </c>
      <c r="G29" t="s">
        <v>15</v>
      </c>
      <c r="H29" t="s">
        <v>27</v>
      </c>
      <c r="I29">
        <f t="shared" si="0"/>
        <v>0</v>
      </c>
    </row>
    <row r="30" spans="1:9" x14ac:dyDescent="0.3">
      <c r="A30" t="s">
        <v>8</v>
      </c>
      <c r="B30">
        <v>10000</v>
      </c>
      <c r="C30">
        <v>15</v>
      </c>
      <c r="D30">
        <v>970</v>
      </c>
      <c r="E30">
        <v>970</v>
      </c>
      <c r="F30">
        <v>970</v>
      </c>
      <c r="G30" t="s">
        <v>15</v>
      </c>
      <c r="H30" t="s">
        <v>28</v>
      </c>
      <c r="I30">
        <f t="shared" si="0"/>
        <v>0</v>
      </c>
    </row>
    <row r="31" spans="1:9" x14ac:dyDescent="0.3">
      <c r="A31" t="s">
        <v>8</v>
      </c>
      <c r="B31">
        <v>10000</v>
      </c>
      <c r="C31">
        <v>20</v>
      </c>
      <c r="D31">
        <v>970</v>
      </c>
      <c r="E31">
        <v>970</v>
      </c>
      <c r="F31">
        <v>970</v>
      </c>
      <c r="G31" t="s">
        <v>29</v>
      </c>
      <c r="H31" t="s">
        <v>30</v>
      </c>
      <c r="I31">
        <f t="shared" si="0"/>
        <v>1.0008811950683E-3</v>
      </c>
    </row>
    <row r="32" spans="1:9" x14ac:dyDescent="0.3">
      <c r="A32" t="s">
        <v>8</v>
      </c>
      <c r="B32">
        <v>50000</v>
      </c>
      <c r="C32">
        <v>1</v>
      </c>
      <c r="D32">
        <v>970</v>
      </c>
      <c r="E32">
        <v>970</v>
      </c>
      <c r="F32">
        <v>970</v>
      </c>
      <c r="G32" t="s">
        <v>64</v>
      </c>
      <c r="H32" t="s">
        <v>65</v>
      </c>
      <c r="I32">
        <f t="shared" si="0"/>
        <v>1.21731877326965</v>
      </c>
    </row>
    <row r="33" spans="1:9" x14ac:dyDescent="0.3">
      <c r="A33" t="s">
        <v>8</v>
      </c>
      <c r="B33">
        <v>50000</v>
      </c>
      <c r="C33">
        <v>5</v>
      </c>
      <c r="D33">
        <v>970</v>
      </c>
      <c r="E33">
        <v>970</v>
      </c>
      <c r="F33">
        <v>970</v>
      </c>
      <c r="G33" t="s">
        <v>71</v>
      </c>
      <c r="H33" t="s">
        <v>72</v>
      </c>
      <c r="I33">
        <f t="shared" si="0"/>
        <v>1.32189321517944</v>
      </c>
    </row>
    <row r="34" spans="1:9" x14ac:dyDescent="0.3">
      <c r="A34" t="s">
        <v>8</v>
      </c>
      <c r="B34">
        <v>50000</v>
      </c>
      <c r="C34">
        <v>10</v>
      </c>
      <c r="D34">
        <v>970</v>
      </c>
      <c r="E34">
        <v>970</v>
      </c>
      <c r="F34">
        <v>970</v>
      </c>
      <c r="G34" t="s">
        <v>66</v>
      </c>
      <c r="H34" t="s">
        <v>67</v>
      </c>
      <c r="I34">
        <f t="shared" ref="I34:I51" si="1">IF(ISNUMBER(G34), G34, SUBSTITUTE(G34, ".", ",")*1)</f>
        <v>9.9229812622070009E-4</v>
      </c>
    </row>
    <row r="35" spans="1:9" x14ac:dyDescent="0.3">
      <c r="A35" t="s">
        <v>8</v>
      </c>
      <c r="B35">
        <v>50000</v>
      </c>
      <c r="C35">
        <v>15</v>
      </c>
      <c r="D35">
        <v>970</v>
      </c>
      <c r="E35">
        <v>970</v>
      </c>
      <c r="F35">
        <v>970</v>
      </c>
      <c r="G35" t="s">
        <v>68</v>
      </c>
      <c r="H35" t="s">
        <v>69</v>
      </c>
      <c r="I35">
        <f t="shared" si="1"/>
        <v>1.2478508949279701</v>
      </c>
    </row>
    <row r="36" spans="1:9" x14ac:dyDescent="0.3">
      <c r="A36" t="s">
        <v>8</v>
      </c>
      <c r="B36">
        <v>50000</v>
      </c>
      <c r="C36">
        <v>20</v>
      </c>
      <c r="D36">
        <v>970</v>
      </c>
      <c r="E36">
        <v>970</v>
      </c>
      <c r="F36">
        <v>970</v>
      </c>
      <c r="G36" t="s">
        <v>15</v>
      </c>
      <c r="H36" t="s">
        <v>70</v>
      </c>
      <c r="I36">
        <f t="shared" si="1"/>
        <v>0</v>
      </c>
    </row>
    <row r="37" spans="1:9" x14ac:dyDescent="0.3">
      <c r="A37" t="s">
        <v>8</v>
      </c>
      <c r="B37">
        <v>100000</v>
      </c>
      <c r="C37">
        <v>1</v>
      </c>
      <c r="D37">
        <v>970</v>
      </c>
      <c r="E37">
        <v>970</v>
      </c>
      <c r="F37">
        <v>970</v>
      </c>
      <c r="G37" t="s">
        <v>19</v>
      </c>
      <c r="H37" t="s">
        <v>20</v>
      </c>
      <c r="I37">
        <f t="shared" si="1"/>
        <v>2.1346364021301198</v>
      </c>
    </row>
    <row r="38" spans="1:9" x14ac:dyDescent="0.3">
      <c r="A38" t="s">
        <v>8</v>
      </c>
      <c r="B38">
        <v>100000</v>
      </c>
      <c r="C38">
        <v>5</v>
      </c>
      <c r="D38">
        <v>970</v>
      </c>
      <c r="E38">
        <v>970</v>
      </c>
      <c r="F38">
        <v>970</v>
      </c>
      <c r="G38" t="s">
        <v>15</v>
      </c>
      <c r="H38" t="s">
        <v>24</v>
      </c>
      <c r="I38">
        <f t="shared" si="1"/>
        <v>0</v>
      </c>
    </row>
    <row r="39" spans="1:9" x14ac:dyDescent="0.3">
      <c r="A39" t="s">
        <v>8</v>
      </c>
      <c r="B39">
        <v>100000</v>
      </c>
      <c r="C39">
        <v>10</v>
      </c>
      <c r="D39">
        <v>970</v>
      </c>
      <c r="E39">
        <v>970</v>
      </c>
      <c r="F39">
        <v>970</v>
      </c>
      <c r="G39" t="s">
        <v>15</v>
      </c>
      <c r="H39" t="s">
        <v>21</v>
      </c>
      <c r="I39">
        <f t="shared" si="1"/>
        <v>0</v>
      </c>
    </row>
    <row r="40" spans="1:9" x14ac:dyDescent="0.3">
      <c r="A40" t="s">
        <v>8</v>
      </c>
      <c r="B40">
        <v>100000</v>
      </c>
      <c r="C40">
        <v>15</v>
      </c>
      <c r="D40">
        <v>970</v>
      </c>
      <c r="E40">
        <v>970</v>
      </c>
      <c r="F40">
        <v>970</v>
      </c>
      <c r="G40" t="s">
        <v>15</v>
      </c>
      <c r="H40" t="s">
        <v>22</v>
      </c>
      <c r="I40">
        <f t="shared" si="1"/>
        <v>0</v>
      </c>
    </row>
    <row r="41" spans="1:9" x14ac:dyDescent="0.3">
      <c r="A41" t="s">
        <v>8</v>
      </c>
      <c r="B41">
        <v>100000</v>
      </c>
      <c r="C41">
        <v>20</v>
      </c>
      <c r="D41">
        <v>970</v>
      </c>
      <c r="E41">
        <v>970</v>
      </c>
      <c r="F41">
        <v>970</v>
      </c>
      <c r="G41" t="s">
        <v>15</v>
      </c>
      <c r="H41" t="s">
        <v>23</v>
      </c>
      <c r="I41">
        <f t="shared" si="1"/>
        <v>0</v>
      </c>
    </row>
    <row r="42" spans="1:9" x14ac:dyDescent="0.3">
      <c r="A42" t="s">
        <v>8</v>
      </c>
      <c r="B42">
        <v>500000</v>
      </c>
      <c r="C42">
        <v>1</v>
      </c>
      <c r="D42">
        <v>970</v>
      </c>
      <c r="E42">
        <v>970</v>
      </c>
      <c r="F42">
        <v>970</v>
      </c>
      <c r="G42" t="s">
        <v>55</v>
      </c>
      <c r="H42" t="s">
        <v>56</v>
      </c>
      <c r="I42">
        <f t="shared" si="1"/>
        <v>10.5062594413757</v>
      </c>
    </row>
    <row r="43" spans="1:9" x14ac:dyDescent="0.3">
      <c r="A43" t="s">
        <v>8</v>
      </c>
      <c r="B43">
        <v>500000</v>
      </c>
      <c r="C43">
        <v>5</v>
      </c>
      <c r="D43">
        <v>970</v>
      </c>
      <c r="E43">
        <v>970</v>
      </c>
      <c r="F43">
        <v>970</v>
      </c>
      <c r="G43" t="s">
        <v>15</v>
      </c>
      <c r="H43" t="s">
        <v>63</v>
      </c>
      <c r="I43">
        <f t="shared" si="1"/>
        <v>0</v>
      </c>
    </row>
    <row r="44" spans="1:9" x14ac:dyDescent="0.3">
      <c r="A44" t="s">
        <v>8</v>
      </c>
      <c r="B44">
        <v>500000</v>
      </c>
      <c r="C44">
        <v>10</v>
      </c>
      <c r="D44">
        <v>970</v>
      </c>
      <c r="E44">
        <v>970</v>
      </c>
      <c r="F44">
        <v>970</v>
      </c>
      <c r="G44" t="s">
        <v>57</v>
      </c>
      <c r="H44" t="s">
        <v>58</v>
      </c>
      <c r="I44">
        <f t="shared" si="1"/>
        <v>1.1522769927978E-3</v>
      </c>
    </row>
    <row r="45" spans="1:9" x14ac:dyDescent="0.3">
      <c r="A45" t="s">
        <v>8</v>
      </c>
      <c r="B45">
        <v>500000</v>
      </c>
      <c r="C45">
        <v>15</v>
      </c>
      <c r="D45">
        <v>970</v>
      </c>
      <c r="E45">
        <v>970</v>
      </c>
      <c r="F45">
        <v>970</v>
      </c>
      <c r="G45" t="s">
        <v>59</v>
      </c>
      <c r="H45" t="s">
        <v>60</v>
      </c>
      <c r="I45">
        <f t="shared" si="1"/>
        <v>9.9635124206539998E-4</v>
      </c>
    </row>
    <row r="46" spans="1:9" x14ac:dyDescent="0.3">
      <c r="A46" t="s">
        <v>8</v>
      </c>
      <c r="B46">
        <v>500000</v>
      </c>
      <c r="C46">
        <v>20</v>
      </c>
      <c r="D46">
        <v>970</v>
      </c>
      <c r="E46">
        <v>970</v>
      </c>
      <c r="F46">
        <v>970</v>
      </c>
      <c r="G46" t="s">
        <v>61</v>
      </c>
      <c r="H46" t="s">
        <v>62</v>
      </c>
      <c r="I46">
        <f t="shared" si="1"/>
        <v>1.136302947998E-3</v>
      </c>
    </row>
    <row r="47" spans="1:9" x14ac:dyDescent="0.3">
      <c r="A47" t="s">
        <v>8</v>
      </c>
      <c r="B47">
        <v>1000000</v>
      </c>
      <c r="C47">
        <v>1</v>
      </c>
      <c r="D47">
        <v>970</v>
      </c>
      <c r="E47">
        <v>970</v>
      </c>
      <c r="F47">
        <v>970</v>
      </c>
      <c r="G47" t="s">
        <v>9</v>
      </c>
      <c r="H47" t="s">
        <v>10</v>
      </c>
      <c r="I47">
        <f t="shared" si="1"/>
        <v>24.819896936416601</v>
      </c>
    </row>
    <row r="48" spans="1:9" x14ac:dyDescent="0.3">
      <c r="A48" t="s">
        <v>8</v>
      </c>
      <c r="B48">
        <v>1000000</v>
      </c>
      <c r="C48">
        <v>5</v>
      </c>
      <c r="D48">
        <v>970</v>
      </c>
      <c r="E48">
        <v>970</v>
      </c>
      <c r="F48">
        <v>970</v>
      </c>
      <c r="G48" t="s">
        <v>17</v>
      </c>
      <c r="H48" t="s">
        <v>18</v>
      </c>
      <c r="I48">
        <f t="shared" si="1"/>
        <v>1.0020732879638E-3</v>
      </c>
    </row>
    <row r="49" spans="1:9" x14ac:dyDescent="0.3">
      <c r="A49" t="s">
        <v>8</v>
      </c>
      <c r="B49">
        <v>1000000</v>
      </c>
      <c r="C49">
        <v>10</v>
      </c>
      <c r="D49">
        <v>970</v>
      </c>
      <c r="E49">
        <v>970</v>
      </c>
      <c r="F49">
        <v>970</v>
      </c>
      <c r="G49" t="s">
        <v>11</v>
      </c>
      <c r="H49" t="s">
        <v>12</v>
      </c>
      <c r="I49">
        <f t="shared" si="1"/>
        <v>1.0025501251220001E-3</v>
      </c>
    </row>
    <row r="50" spans="1:9" x14ac:dyDescent="0.3">
      <c r="A50" t="s">
        <v>8</v>
      </c>
      <c r="B50">
        <v>1000000</v>
      </c>
      <c r="C50">
        <v>15</v>
      </c>
      <c r="D50">
        <v>970</v>
      </c>
      <c r="E50">
        <v>970</v>
      </c>
      <c r="F50">
        <v>970</v>
      </c>
      <c r="G50" t="s">
        <v>13</v>
      </c>
      <c r="H50" t="s">
        <v>14</v>
      </c>
      <c r="I50">
        <f t="shared" si="1"/>
        <v>1.1265277862548E-3</v>
      </c>
    </row>
    <row r="51" spans="1:9" x14ac:dyDescent="0.3">
      <c r="A51" t="s">
        <v>8</v>
      </c>
      <c r="B51">
        <v>1000000</v>
      </c>
      <c r="C51">
        <v>20</v>
      </c>
      <c r="D51">
        <v>970</v>
      </c>
      <c r="E51">
        <v>970</v>
      </c>
      <c r="F51">
        <v>970</v>
      </c>
      <c r="G51" t="s">
        <v>15</v>
      </c>
      <c r="H51" t="s">
        <v>16</v>
      </c>
      <c r="I51">
        <f t="shared" si="1"/>
        <v>0</v>
      </c>
    </row>
    <row r="57" spans="1:9" x14ac:dyDescent="0.3">
      <c r="A57" t="s">
        <v>875</v>
      </c>
      <c r="B57">
        <f>AVERAGE(results_0_fusionné[tps_nb])</f>
        <v>0.83681338787078685</v>
      </c>
    </row>
    <row r="58" spans="1:9" x14ac:dyDescent="0.3">
      <c r="A58" t="s">
        <v>874</v>
      </c>
      <c r="B58">
        <f>MAX(results_0_fusionné[Total profit])</f>
        <v>970</v>
      </c>
    </row>
    <row r="60" spans="1:9" x14ac:dyDescent="0.3">
      <c r="A60" s="1" t="s">
        <v>870</v>
      </c>
      <c r="B60" t="s">
        <v>873</v>
      </c>
    </row>
    <row r="61" spans="1:9" x14ac:dyDescent="0.3">
      <c r="A61" s="2">
        <v>10</v>
      </c>
      <c r="B61">
        <v>952</v>
      </c>
    </row>
    <row r="62" spans="1:9" x14ac:dyDescent="0.3">
      <c r="A62" s="2">
        <v>100</v>
      </c>
      <c r="B62">
        <v>921.6</v>
      </c>
    </row>
    <row r="63" spans="1:9" x14ac:dyDescent="0.3">
      <c r="A63" s="2">
        <v>500</v>
      </c>
      <c r="B63">
        <v>921.6</v>
      </c>
    </row>
    <row r="64" spans="1:9" x14ac:dyDescent="0.3">
      <c r="A64" s="2">
        <v>1000</v>
      </c>
      <c r="B64">
        <v>970</v>
      </c>
    </row>
    <row r="65" spans="1:2" x14ac:dyDescent="0.3">
      <c r="A65" s="2">
        <v>5000</v>
      </c>
      <c r="B65">
        <v>970</v>
      </c>
    </row>
    <row r="66" spans="1:2" x14ac:dyDescent="0.3">
      <c r="A66" s="2">
        <v>10000</v>
      </c>
      <c r="B66">
        <v>970</v>
      </c>
    </row>
    <row r="67" spans="1:2" x14ac:dyDescent="0.3">
      <c r="A67" s="2">
        <v>50000</v>
      </c>
      <c r="B67">
        <v>970</v>
      </c>
    </row>
    <row r="68" spans="1:2" x14ac:dyDescent="0.3">
      <c r="A68" s="2">
        <v>100000</v>
      </c>
      <c r="B68">
        <v>970</v>
      </c>
    </row>
    <row r="69" spans="1:2" x14ac:dyDescent="0.3">
      <c r="A69" s="2">
        <v>500000</v>
      </c>
      <c r="B69">
        <v>970</v>
      </c>
    </row>
    <row r="70" spans="1:2" x14ac:dyDescent="0.3">
      <c r="A70" s="2">
        <v>1000000</v>
      </c>
      <c r="B70">
        <v>970</v>
      </c>
    </row>
    <row r="71" spans="1:2" x14ac:dyDescent="0.3">
      <c r="A71" s="2" t="s">
        <v>871</v>
      </c>
      <c r="B71">
        <v>958.52</v>
      </c>
    </row>
    <row r="77" spans="1:2" x14ac:dyDescent="0.3">
      <c r="A77" s="1" t="s">
        <v>870</v>
      </c>
      <c r="B77" t="s">
        <v>873</v>
      </c>
    </row>
    <row r="78" spans="1:2" x14ac:dyDescent="0.3">
      <c r="A78" s="2">
        <v>1</v>
      </c>
      <c r="B78">
        <v>929.9</v>
      </c>
    </row>
    <row r="79" spans="1:2" x14ac:dyDescent="0.3">
      <c r="A79" s="2">
        <v>5</v>
      </c>
      <c r="B79">
        <v>970</v>
      </c>
    </row>
    <row r="80" spans="1:2" x14ac:dyDescent="0.3">
      <c r="A80" s="2">
        <v>10</v>
      </c>
      <c r="B80">
        <v>961</v>
      </c>
    </row>
    <row r="81" spans="1:2" x14ac:dyDescent="0.3">
      <c r="A81" s="2">
        <v>15</v>
      </c>
      <c r="B81">
        <v>961.7</v>
      </c>
    </row>
    <row r="82" spans="1:2" x14ac:dyDescent="0.3">
      <c r="A82" s="2">
        <v>20</v>
      </c>
      <c r="B82">
        <v>970</v>
      </c>
    </row>
    <row r="83" spans="1:2" x14ac:dyDescent="0.3">
      <c r="A83" s="2" t="s">
        <v>871</v>
      </c>
      <c r="B83">
        <v>958.52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E6E17-2D71-457C-B0DC-B38654BEC348}">
  <dimension ref="A1:I83"/>
  <sheetViews>
    <sheetView tabSelected="1" topLeftCell="A76" workbookViewId="0">
      <selection activeCell="F35" sqref="F35"/>
    </sheetView>
  </sheetViews>
  <sheetFormatPr baseColWidth="10" defaultRowHeight="14.4" x14ac:dyDescent="0.3"/>
  <cols>
    <col min="1" max="1" width="19.5546875" bestFit="1" customWidth="1"/>
    <col min="2" max="2" width="20.21875" bestFit="1" customWidth="1"/>
    <col min="3" max="3" width="17.109375" bestFit="1" customWidth="1"/>
    <col min="4" max="4" width="11.6640625" bestFit="1" customWidth="1"/>
    <col min="5" max="5" width="13.109375" bestFit="1" customWidth="1"/>
    <col min="6" max="6" width="12.21875" bestFit="1" customWidth="1"/>
    <col min="7" max="7" width="18.88671875" bestFit="1" customWidth="1"/>
    <col min="8" max="8" width="61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876</v>
      </c>
    </row>
    <row r="2" spans="1:9" x14ac:dyDescent="0.3">
      <c r="A2" t="s">
        <v>89</v>
      </c>
      <c r="B2">
        <v>1000000</v>
      </c>
      <c r="C2">
        <v>1</v>
      </c>
      <c r="D2">
        <v>4556</v>
      </c>
      <c r="E2">
        <v>4528</v>
      </c>
      <c r="F2">
        <v>4514</v>
      </c>
      <c r="G2" t="s">
        <v>90</v>
      </c>
      <c r="H2" t="s">
        <v>91</v>
      </c>
      <c r="I2">
        <f>IF(ISNUMBER(G2), G2, SUBSTITUTE(G2, ".", ",")*1)</f>
        <v>216.32636570930401</v>
      </c>
    </row>
    <row r="3" spans="1:9" x14ac:dyDescent="0.3">
      <c r="A3" t="s">
        <v>89</v>
      </c>
      <c r="B3">
        <v>1000000</v>
      </c>
      <c r="C3">
        <v>10</v>
      </c>
      <c r="D3">
        <v>4556</v>
      </c>
      <c r="E3">
        <v>4540</v>
      </c>
      <c r="F3">
        <v>4400</v>
      </c>
      <c r="G3" t="s">
        <v>92</v>
      </c>
      <c r="H3" t="s">
        <v>93</v>
      </c>
      <c r="I3">
        <f t="shared" ref="I2:I33" si="0">IF(ISNUMBER(G3), G3, SUBSTITUTE(G3, ".", ",")*1)</f>
        <v>254.40640044212299</v>
      </c>
    </row>
    <row r="4" spans="1:9" x14ac:dyDescent="0.3">
      <c r="A4" t="s">
        <v>89</v>
      </c>
      <c r="B4">
        <v>1000000</v>
      </c>
      <c r="C4">
        <v>15</v>
      </c>
      <c r="D4">
        <v>4556</v>
      </c>
      <c r="E4">
        <v>4556</v>
      </c>
      <c r="F4">
        <v>4248</v>
      </c>
      <c r="G4" t="s">
        <v>94</v>
      </c>
      <c r="H4" t="s">
        <v>95</v>
      </c>
      <c r="I4">
        <f t="shared" si="0"/>
        <v>242.80197668075499</v>
      </c>
    </row>
    <row r="5" spans="1:9" x14ac:dyDescent="0.3">
      <c r="A5" t="s">
        <v>89</v>
      </c>
      <c r="B5">
        <v>1000000</v>
      </c>
      <c r="C5">
        <v>20</v>
      </c>
      <c r="D5">
        <v>4556</v>
      </c>
      <c r="E5">
        <v>4540</v>
      </c>
      <c r="F5">
        <v>4400</v>
      </c>
      <c r="G5" t="s">
        <v>96</v>
      </c>
      <c r="H5" t="s">
        <v>97</v>
      </c>
      <c r="I5">
        <f t="shared" si="0"/>
        <v>236.18393969535799</v>
      </c>
    </row>
    <row r="6" spans="1:9" x14ac:dyDescent="0.3">
      <c r="A6" t="s">
        <v>89</v>
      </c>
      <c r="B6">
        <v>1000000</v>
      </c>
      <c r="C6">
        <v>5</v>
      </c>
      <c r="D6">
        <v>4556</v>
      </c>
      <c r="E6">
        <v>4549</v>
      </c>
      <c r="F6">
        <v>3975</v>
      </c>
      <c r="G6" t="s">
        <v>98</v>
      </c>
      <c r="H6" t="s">
        <v>99</v>
      </c>
      <c r="I6">
        <f t="shared" si="0"/>
        <v>250.40215778350799</v>
      </c>
    </row>
    <row r="7" spans="1:9" x14ac:dyDescent="0.3">
      <c r="A7" t="s">
        <v>89</v>
      </c>
      <c r="B7">
        <v>100000</v>
      </c>
      <c r="C7">
        <v>1</v>
      </c>
      <c r="D7">
        <v>4556</v>
      </c>
      <c r="E7">
        <v>4530</v>
      </c>
      <c r="F7">
        <v>3816</v>
      </c>
      <c r="G7" t="s">
        <v>100</v>
      </c>
      <c r="H7" t="s">
        <v>101</v>
      </c>
      <c r="I7">
        <f t="shared" si="0"/>
        <v>21.2954981327056</v>
      </c>
    </row>
    <row r="8" spans="1:9" x14ac:dyDescent="0.3">
      <c r="A8" t="s">
        <v>89</v>
      </c>
      <c r="B8">
        <v>100000</v>
      </c>
      <c r="C8">
        <v>10</v>
      </c>
      <c r="D8">
        <v>4556</v>
      </c>
      <c r="E8">
        <v>4513</v>
      </c>
      <c r="F8">
        <v>4317</v>
      </c>
      <c r="G8" t="s">
        <v>102</v>
      </c>
      <c r="H8" t="s">
        <v>103</v>
      </c>
      <c r="I8">
        <f t="shared" si="0"/>
        <v>24.1612935066223</v>
      </c>
    </row>
    <row r="9" spans="1:9" x14ac:dyDescent="0.3">
      <c r="A9" t="s">
        <v>89</v>
      </c>
      <c r="B9">
        <v>100000</v>
      </c>
      <c r="C9">
        <v>15</v>
      </c>
      <c r="D9">
        <v>4556</v>
      </c>
      <c r="E9">
        <v>4552</v>
      </c>
      <c r="F9">
        <v>4286</v>
      </c>
      <c r="G9" t="s">
        <v>104</v>
      </c>
      <c r="H9" t="s">
        <v>105</v>
      </c>
      <c r="I9">
        <f t="shared" si="0"/>
        <v>23.800001621246299</v>
      </c>
    </row>
    <row r="10" spans="1:9" x14ac:dyDescent="0.3">
      <c r="A10" t="s">
        <v>89</v>
      </c>
      <c r="B10">
        <v>100000</v>
      </c>
      <c r="C10">
        <v>20</v>
      </c>
      <c r="D10">
        <v>4556</v>
      </c>
      <c r="E10">
        <v>4553</v>
      </c>
      <c r="F10">
        <v>3937</v>
      </c>
      <c r="G10" t="s">
        <v>106</v>
      </c>
      <c r="H10" t="s">
        <v>107</v>
      </c>
      <c r="I10">
        <f t="shared" si="0"/>
        <v>25.0676140785217</v>
      </c>
    </row>
    <row r="11" spans="1:9" x14ac:dyDescent="0.3">
      <c r="A11" t="s">
        <v>89</v>
      </c>
      <c r="B11">
        <v>100000</v>
      </c>
      <c r="C11">
        <v>5</v>
      </c>
      <c r="D11">
        <v>4556</v>
      </c>
      <c r="E11">
        <v>4533</v>
      </c>
      <c r="F11">
        <v>4127</v>
      </c>
      <c r="G11" t="s">
        <v>108</v>
      </c>
      <c r="H11" t="s">
        <v>109</v>
      </c>
      <c r="I11">
        <f t="shared" si="0"/>
        <v>22.582212924957201</v>
      </c>
    </row>
    <row r="12" spans="1:9" x14ac:dyDescent="0.3">
      <c r="A12" t="s">
        <v>89</v>
      </c>
      <c r="B12">
        <v>10000</v>
      </c>
      <c r="C12">
        <v>1</v>
      </c>
      <c r="D12">
        <v>4556</v>
      </c>
      <c r="E12">
        <v>4540</v>
      </c>
      <c r="F12">
        <v>4400</v>
      </c>
      <c r="G12" t="s">
        <v>110</v>
      </c>
      <c r="H12" t="s">
        <v>111</v>
      </c>
      <c r="I12">
        <f t="shared" si="0"/>
        <v>3.0424242019653298</v>
      </c>
    </row>
    <row r="13" spans="1:9" x14ac:dyDescent="0.3">
      <c r="A13" t="s">
        <v>89</v>
      </c>
      <c r="B13">
        <v>10000</v>
      </c>
      <c r="C13">
        <v>10</v>
      </c>
      <c r="D13">
        <v>4556</v>
      </c>
      <c r="E13">
        <v>4533</v>
      </c>
      <c r="F13">
        <v>4127</v>
      </c>
      <c r="G13" t="s">
        <v>112</v>
      </c>
      <c r="H13" t="s">
        <v>113</v>
      </c>
      <c r="I13">
        <f t="shared" si="0"/>
        <v>2.2065539360046298</v>
      </c>
    </row>
    <row r="14" spans="1:9" x14ac:dyDescent="0.3">
      <c r="A14" t="s">
        <v>89</v>
      </c>
      <c r="B14">
        <v>10000</v>
      </c>
      <c r="C14">
        <v>15</v>
      </c>
      <c r="D14">
        <v>4556</v>
      </c>
      <c r="E14">
        <v>4528</v>
      </c>
      <c r="F14">
        <v>4514</v>
      </c>
      <c r="G14" t="s">
        <v>114</v>
      </c>
      <c r="H14" t="s">
        <v>115</v>
      </c>
      <c r="I14">
        <f t="shared" si="0"/>
        <v>2.8796291351318302</v>
      </c>
    </row>
    <row r="15" spans="1:9" x14ac:dyDescent="0.3">
      <c r="A15" t="s">
        <v>89</v>
      </c>
      <c r="B15">
        <v>10000</v>
      </c>
      <c r="C15">
        <v>20</v>
      </c>
      <c r="D15">
        <v>4556</v>
      </c>
      <c r="E15">
        <v>4534</v>
      </c>
      <c r="F15">
        <v>3778</v>
      </c>
      <c r="G15" t="s">
        <v>116</v>
      </c>
      <c r="H15" t="s">
        <v>117</v>
      </c>
      <c r="I15">
        <f t="shared" si="0"/>
        <v>2.5320727825164702</v>
      </c>
    </row>
    <row r="16" spans="1:9" x14ac:dyDescent="0.3">
      <c r="A16" t="s">
        <v>89</v>
      </c>
      <c r="B16">
        <v>10000</v>
      </c>
      <c r="C16">
        <v>5</v>
      </c>
      <c r="D16">
        <v>4556</v>
      </c>
      <c r="E16">
        <v>4518</v>
      </c>
      <c r="F16">
        <v>3930</v>
      </c>
      <c r="G16" t="s">
        <v>118</v>
      </c>
      <c r="H16" t="s">
        <v>119</v>
      </c>
      <c r="I16">
        <f t="shared" si="0"/>
        <v>2.48583555221557</v>
      </c>
    </row>
    <row r="17" spans="1:9" x14ac:dyDescent="0.3">
      <c r="A17" t="s">
        <v>89</v>
      </c>
      <c r="B17">
        <v>1000</v>
      </c>
      <c r="C17">
        <v>1</v>
      </c>
      <c r="D17">
        <v>4556</v>
      </c>
      <c r="E17">
        <v>4545</v>
      </c>
      <c r="F17">
        <v>4013</v>
      </c>
      <c r="G17" t="s">
        <v>120</v>
      </c>
      <c r="H17" t="s">
        <v>121</v>
      </c>
      <c r="I17">
        <f t="shared" si="0"/>
        <v>0.21213364601135201</v>
      </c>
    </row>
    <row r="18" spans="1:9" x14ac:dyDescent="0.3">
      <c r="A18" t="s">
        <v>89</v>
      </c>
      <c r="B18">
        <v>1000</v>
      </c>
      <c r="C18">
        <v>10</v>
      </c>
      <c r="D18">
        <v>4556</v>
      </c>
      <c r="E18">
        <v>4545</v>
      </c>
      <c r="F18">
        <v>4013</v>
      </c>
      <c r="G18" t="s">
        <v>122</v>
      </c>
      <c r="H18" t="s">
        <v>123</v>
      </c>
      <c r="I18">
        <f t="shared" si="0"/>
        <v>0.21448326110839799</v>
      </c>
    </row>
    <row r="19" spans="1:9" x14ac:dyDescent="0.3">
      <c r="A19" t="s">
        <v>89</v>
      </c>
      <c r="B19">
        <v>1000</v>
      </c>
      <c r="C19">
        <v>15</v>
      </c>
      <c r="D19">
        <v>4556</v>
      </c>
      <c r="E19">
        <v>4528</v>
      </c>
      <c r="F19">
        <v>4514</v>
      </c>
      <c r="G19" t="s">
        <v>124</v>
      </c>
      <c r="H19" t="s">
        <v>125</v>
      </c>
      <c r="I19">
        <f t="shared" si="0"/>
        <v>0.269567251205444</v>
      </c>
    </row>
    <row r="20" spans="1:9" x14ac:dyDescent="0.3">
      <c r="A20" t="s">
        <v>89</v>
      </c>
      <c r="B20">
        <v>1000</v>
      </c>
      <c r="C20">
        <v>20</v>
      </c>
      <c r="D20">
        <v>4556</v>
      </c>
      <c r="E20">
        <v>4552</v>
      </c>
      <c r="F20">
        <v>4286</v>
      </c>
      <c r="G20" t="s">
        <v>126</v>
      </c>
      <c r="H20" t="s">
        <v>127</v>
      </c>
      <c r="I20">
        <f t="shared" si="0"/>
        <v>0.213872671127319</v>
      </c>
    </row>
    <row r="21" spans="1:9" x14ac:dyDescent="0.3">
      <c r="A21" t="s">
        <v>89</v>
      </c>
      <c r="B21">
        <v>1000</v>
      </c>
      <c r="C21">
        <v>5</v>
      </c>
      <c r="D21">
        <v>4556</v>
      </c>
      <c r="E21">
        <v>4541</v>
      </c>
      <c r="F21">
        <v>4051</v>
      </c>
      <c r="G21" t="s">
        <v>128</v>
      </c>
      <c r="H21" t="s">
        <v>129</v>
      </c>
      <c r="I21">
        <f t="shared" si="0"/>
        <v>0.21409845352172799</v>
      </c>
    </row>
    <row r="22" spans="1:9" x14ac:dyDescent="0.3">
      <c r="A22" t="s">
        <v>89</v>
      </c>
      <c r="B22">
        <v>100</v>
      </c>
      <c r="C22">
        <v>1</v>
      </c>
      <c r="D22">
        <v>4556</v>
      </c>
      <c r="E22">
        <v>4545</v>
      </c>
      <c r="F22">
        <v>4013</v>
      </c>
      <c r="G22" t="s">
        <v>130</v>
      </c>
      <c r="H22" t="s">
        <v>131</v>
      </c>
      <c r="I22">
        <f t="shared" si="0"/>
        <v>2.0648956298828101E-2</v>
      </c>
    </row>
    <row r="23" spans="1:9" x14ac:dyDescent="0.3">
      <c r="A23" t="s">
        <v>89</v>
      </c>
      <c r="B23">
        <v>100</v>
      </c>
      <c r="C23">
        <v>10</v>
      </c>
      <c r="D23">
        <v>4556</v>
      </c>
      <c r="E23">
        <v>4556</v>
      </c>
      <c r="F23">
        <v>4248</v>
      </c>
      <c r="G23" t="s">
        <v>132</v>
      </c>
      <c r="H23" t="s">
        <v>133</v>
      </c>
      <c r="I23">
        <f t="shared" si="0"/>
        <v>2.8143405914306599E-2</v>
      </c>
    </row>
    <row r="24" spans="1:9" x14ac:dyDescent="0.3">
      <c r="A24" t="s">
        <v>89</v>
      </c>
      <c r="B24">
        <v>100</v>
      </c>
      <c r="C24">
        <v>15</v>
      </c>
      <c r="D24">
        <v>4556</v>
      </c>
      <c r="E24">
        <v>4540</v>
      </c>
      <c r="F24">
        <v>4400</v>
      </c>
      <c r="G24" t="s">
        <v>134</v>
      </c>
      <c r="H24" t="s">
        <v>135</v>
      </c>
      <c r="I24">
        <f t="shared" si="0"/>
        <v>2.64678001403808E-2</v>
      </c>
    </row>
    <row r="25" spans="1:9" x14ac:dyDescent="0.3">
      <c r="A25" t="s">
        <v>89</v>
      </c>
      <c r="B25">
        <v>100</v>
      </c>
      <c r="C25">
        <v>20</v>
      </c>
      <c r="D25">
        <v>4556</v>
      </c>
      <c r="E25">
        <v>4544</v>
      </c>
      <c r="F25">
        <v>4362</v>
      </c>
      <c r="G25" t="s">
        <v>136</v>
      </c>
      <c r="H25" t="s">
        <v>137</v>
      </c>
      <c r="I25">
        <f t="shared" si="0"/>
        <v>2.4785041809082E-2</v>
      </c>
    </row>
    <row r="26" spans="1:9" x14ac:dyDescent="0.3">
      <c r="A26" t="s">
        <v>89</v>
      </c>
      <c r="B26">
        <v>100</v>
      </c>
      <c r="C26">
        <v>5</v>
      </c>
      <c r="D26">
        <v>4556</v>
      </c>
      <c r="E26">
        <v>4533</v>
      </c>
      <c r="F26">
        <v>4127</v>
      </c>
      <c r="G26" t="s">
        <v>138</v>
      </c>
      <c r="H26" t="s">
        <v>139</v>
      </c>
      <c r="I26">
        <f t="shared" si="0"/>
        <v>2.3520946502685498E-2</v>
      </c>
    </row>
    <row r="27" spans="1:9" x14ac:dyDescent="0.3">
      <c r="A27" t="s">
        <v>89</v>
      </c>
      <c r="B27">
        <v>10</v>
      </c>
      <c r="C27">
        <v>1</v>
      </c>
      <c r="D27">
        <v>4556</v>
      </c>
      <c r="E27">
        <v>4528</v>
      </c>
      <c r="F27">
        <v>4514</v>
      </c>
      <c r="G27" t="s">
        <v>140</v>
      </c>
      <c r="H27" t="s">
        <v>141</v>
      </c>
      <c r="I27">
        <f t="shared" si="0"/>
        <v>3.0338764190673E-3</v>
      </c>
    </row>
    <row r="28" spans="1:9" x14ac:dyDescent="0.3">
      <c r="A28" t="s">
        <v>89</v>
      </c>
      <c r="B28">
        <v>10</v>
      </c>
      <c r="C28">
        <v>10</v>
      </c>
      <c r="D28">
        <v>4556</v>
      </c>
      <c r="E28">
        <v>4552</v>
      </c>
      <c r="F28">
        <v>4286</v>
      </c>
      <c r="G28" t="s">
        <v>142</v>
      </c>
      <c r="H28" t="s">
        <v>143</v>
      </c>
      <c r="I28">
        <f t="shared" si="0"/>
        <v>2.9983520507812001E-3</v>
      </c>
    </row>
    <row r="29" spans="1:9" x14ac:dyDescent="0.3">
      <c r="A29" t="s">
        <v>89</v>
      </c>
      <c r="B29">
        <v>10</v>
      </c>
      <c r="C29">
        <v>15</v>
      </c>
      <c r="D29">
        <v>4556</v>
      </c>
      <c r="E29">
        <v>4518</v>
      </c>
      <c r="F29">
        <v>3930</v>
      </c>
      <c r="G29" t="s">
        <v>144</v>
      </c>
      <c r="H29" t="s">
        <v>145</v>
      </c>
      <c r="I29">
        <f t="shared" si="0"/>
        <v>2.0294189453125E-3</v>
      </c>
    </row>
    <row r="30" spans="1:9" x14ac:dyDescent="0.3">
      <c r="A30" t="s">
        <v>89</v>
      </c>
      <c r="B30">
        <v>10</v>
      </c>
      <c r="C30">
        <v>20</v>
      </c>
      <c r="D30">
        <v>4556</v>
      </c>
      <c r="E30">
        <v>4556</v>
      </c>
      <c r="F30">
        <v>4248</v>
      </c>
      <c r="G30" t="s">
        <v>146</v>
      </c>
      <c r="H30" t="s">
        <v>147</v>
      </c>
      <c r="I30">
        <f t="shared" si="0"/>
        <v>3.0329227447508998E-3</v>
      </c>
    </row>
    <row r="31" spans="1:9" x14ac:dyDescent="0.3">
      <c r="A31" t="s">
        <v>89</v>
      </c>
      <c r="B31">
        <v>10</v>
      </c>
      <c r="C31">
        <v>5</v>
      </c>
      <c r="D31">
        <v>4556</v>
      </c>
      <c r="E31">
        <v>4533</v>
      </c>
      <c r="F31">
        <v>4127</v>
      </c>
      <c r="G31" t="s">
        <v>148</v>
      </c>
      <c r="H31" t="s">
        <v>149</v>
      </c>
      <c r="I31">
        <f t="shared" si="0"/>
        <v>2.9985904693603E-3</v>
      </c>
    </row>
    <row r="32" spans="1:9" x14ac:dyDescent="0.3">
      <c r="A32" t="s">
        <v>89</v>
      </c>
      <c r="B32">
        <v>500000</v>
      </c>
      <c r="C32">
        <v>1</v>
      </c>
      <c r="D32">
        <v>4556</v>
      </c>
      <c r="E32">
        <v>4541</v>
      </c>
      <c r="F32">
        <v>4051</v>
      </c>
      <c r="G32" t="s">
        <v>150</v>
      </c>
      <c r="H32" t="s">
        <v>151</v>
      </c>
      <c r="I32">
        <f t="shared" si="0"/>
        <v>95.879667520523</v>
      </c>
    </row>
    <row r="33" spans="1:9" x14ac:dyDescent="0.3">
      <c r="A33" t="s">
        <v>89</v>
      </c>
      <c r="B33">
        <v>500000</v>
      </c>
      <c r="C33">
        <v>10</v>
      </c>
      <c r="D33">
        <v>4556</v>
      </c>
      <c r="E33">
        <v>4556</v>
      </c>
      <c r="F33">
        <v>4248</v>
      </c>
      <c r="G33" t="s">
        <v>152</v>
      </c>
      <c r="H33" t="s">
        <v>153</v>
      </c>
      <c r="I33">
        <f t="shared" si="0"/>
        <v>127.14311671257001</v>
      </c>
    </row>
    <row r="34" spans="1:9" x14ac:dyDescent="0.3">
      <c r="A34" t="s">
        <v>89</v>
      </c>
      <c r="B34">
        <v>500000</v>
      </c>
      <c r="C34">
        <v>15</v>
      </c>
      <c r="D34">
        <v>4556</v>
      </c>
      <c r="E34">
        <v>4540</v>
      </c>
      <c r="F34">
        <v>4400</v>
      </c>
      <c r="G34" t="s">
        <v>154</v>
      </c>
      <c r="H34" t="s">
        <v>155</v>
      </c>
      <c r="I34">
        <f t="shared" ref="I34:I51" si="1">IF(ISNUMBER(G34), G34, SUBSTITUTE(G34, ".", ",")*1)</f>
        <v>140.97096967697101</v>
      </c>
    </row>
    <row r="35" spans="1:9" x14ac:dyDescent="0.3">
      <c r="A35" t="s">
        <v>89</v>
      </c>
      <c r="B35">
        <v>500000</v>
      </c>
      <c r="C35">
        <v>20</v>
      </c>
      <c r="D35">
        <v>4556</v>
      </c>
      <c r="E35">
        <v>4528</v>
      </c>
      <c r="F35">
        <v>4514</v>
      </c>
      <c r="G35" t="s">
        <v>156</v>
      </c>
      <c r="H35" t="s">
        <v>157</v>
      </c>
      <c r="I35">
        <f t="shared" si="1"/>
        <v>105.09038639068601</v>
      </c>
    </row>
    <row r="36" spans="1:9" x14ac:dyDescent="0.3">
      <c r="A36" t="s">
        <v>89</v>
      </c>
      <c r="B36">
        <v>500000</v>
      </c>
      <c r="C36">
        <v>5</v>
      </c>
      <c r="D36">
        <v>4556</v>
      </c>
      <c r="E36">
        <v>4525</v>
      </c>
      <c r="F36">
        <v>4203</v>
      </c>
      <c r="G36" t="s">
        <v>158</v>
      </c>
      <c r="H36" t="s">
        <v>159</v>
      </c>
      <c r="I36">
        <f t="shared" si="1"/>
        <v>111.599207878112</v>
      </c>
    </row>
    <row r="37" spans="1:9" x14ac:dyDescent="0.3">
      <c r="A37" t="s">
        <v>89</v>
      </c>
      <c r="B37">
        <v>50000</v>
      </c>
      <c r="C37">
        <v>1</v>
      </c>
      <c r="D37">
        <v>4556</v>
      </c>
      <c r="E37">
        <v>4548</v>
      </c>
      <c r="F37">
        <v>4324</v>
      </c>
      <c r="G37" t="s">
        <v>160</v>
      </c>
      <c r="H37" t="s">
        <v>161</v>
      </c>
      <c r="I37">
        <f t="shared" si="1"/>
        <v>10.3585941791534</v>
      </c>
    </row>
    <row r="38" spans="1:9" x14ac:dyDescent="0.3">
      <c r="A38" t="s">
        <v>89</v>
      </c>
      <c r="B38">
        <v>50000</v>
      </c>
      <c r="C38">
        <v>10</v>
      </c>
      <c r="D38">
        <v>4556</v>
      </c>
      <c r="E38">
        <v>4537</v>
      </c>
      <c r="F38">
        <v>4089</v>
      </c>
      <c r="G38" t="s">
        <v>162</v>
      </c>
      <c r="H38" t="s">
        <v>163</v>
      </c>
      <c r="I38">
        <f t="shared" si="1"/>
        <v>11.6243331432342</v>
      </c>
    </row>
    <row r="39" spans="1:9" x14ac:dyDescent="0.3">
      <c r="A39" t="s">
        <v>89</v>
      </c>
      <c r="B39">
        <v>50000</v>
      </c>
      <c r="C39">
        <v>15</v>
      </c>
      <c r="D39">
        <v>4556</v>
      </c>
      <c r="E39">
        <v>4556</v>
      </c>
      <c r="F39">
        <v>4248</v>
      </c>
      <c r="G39" t="s">
        <v>164</v>
      </c>
      <c r="H39" t="s">
        <v>165</v>
      </c>
      <c r="I39">
        <f t="shared" si="1"/>
        <v>10.0042707920074</v>
      </c>
    </row>
    <row r="40" spans="1:9" x14ac:dyDescent="0.3">
      <c r="A40" t="s">
        <v>89</v>
      </c>
      <c r="B40">
        <v>50000</v>
      </c>
      <c r="C40">
        <v>20</v>
      </c>
      <c r="D40">
        <v>4556</v>
      </c>
      <c r="E40">
        <v>4533</v>
      </c>
      <c r="F40">
        <v>4127</v>
      </c>
      <c r="G40" t="s">
        <v>166</v>
      </c>
      <c r="H40" t="s">
        <v>167</v>
      </c>
      <c r="I40">
        <f t="shared" si="1"/>
        <v>12.0199172496795</v>
      </c>
    </row>
    <row r="41" spans="1:9" x14ac:dyDescent="0.3">
      <c r="A41" t="s">
        <v>89</v>
      </c>
      <c r="B41">
        <v>50000</v>
      </c>
      <c r="C41">
        <v>5</v>
      </c>
      <c r="D41">
        <v>4556</v>
      </c>
      <c r="E41">
        <v>4505</v>
      </c>
      <c r="F41">
        <v>4393</v>
      </c>
      <c r="G41" t="s">
        <v>168</v>
      </c>
      <c r="H41" t="s">
        <v>169</v>
      </c>
      <c r="I41">
        <f t="shared" si="1"/>
        <v>15.4339396953582</v>
      </c>
    </row>
    <row r="42" spans="1:9" x14ac:dyDescent="0.3">
      <c r="A42" t="s">
        <v>89</v>
      </c>
      <c r="B42">
        <v>5000</v>
      </c>
      <c r="C42">
        <v>1</v>
      </c>
      <c r="D42">
        <v>4556</v>
      </c>
      <c r="E42">
        <v>4537</v>
      </c>
      <c r="F42">
        <v>4089</v>
      </c>
      <c r="G42" t="s">
        <v>170</v>
      </c>
      <c r="H42" t="s">
        <v>171</v>
      </c>
      <c r="I42">
        <f t="shared" si="1"/>
        <v>1.20366811752319</v>
      </c>
    </row>
    <row r="43" spans="1:9" x14ac:dyDescent="0.3">
      <c r="A43" t="s">
        <v>89</v>
      </c>
      <c r="B43">
        <v>5000</v>
      </c>
      <c r="C43">
        <v>10</v>
      </c>
      <c r="D43">
        <v>4556</v>
      </c>
      <c r="E43">
        <v>4540</v>
      </c>
      <c r="F43">
        <v>4400</v>
      </c>
      <c r="G43" t="s">
        <v>172</v>
      </c>
      <c r="H43" t="s">
        <v>173</v>
      </c>
      <c r="I43">
        <f t="shared" si="1"/>
        <v>1.1607646942138601</v>
      </c>
    </row>
    <row r="44" spans="1:9" x14ac:dyDescent="0.3">
      <c r="A44" t="s">
        <v>89</v>
      </c>
      <c r="B44">
        <v>5000</v>
      </c>
      <c r="C44">
        <v>15</v>
      </c>
      <c r="D44">
        <v>4556</v>
      </c>
      <c r="E44">
        <v>4540</v>
      </c>
      <c r="F44">
        <v>4400</v>
      </c>
      <c r="G44" t="s">
        <v>174</v>
      </c>
      <c r="H44" t="s">
        <v>175</v>
      </c>
      <c r="I44">
        <f t="shared" si="1"/>
        <v>0.98906564712524403</v>
      </c>
    </row>
    <row r="45" spans="1:9" x14ac:dyDescent="0.3">
      <c r="A45" t="s">
        <v>89</v>
      </c>
      <c r="B45">
        <v>5000</v>
      </c>
      <c r="C45">
        <v>20</v>
      </c>
      <c r="D45">
        <v>4556</v>
      </c>
      <c r="E45">
        <v>4536</v>
      </c>
      <c r="F45">
        <v>4438</v>
      </c>
      <c r="G45" t="s">
        <v>176</v>
      </c>
      <c r="H45" t="s">
        <v>177</v>
      </c>
      <c r="I45">
        <f t="shared" si="1"/>
        <v>1.0246441364288299</v>
      </c>
    </row>
    <row r="46" spans="1:9" x14ac:dyDescent="0.3">
      <c r="A46" t="s">
        <v>89</v>
      </c>
      <c r="B46">
        <v>5000</v>
      </c>
      <c r="C46">
        <v>5</v>
      </c>
      <c r="D46">
        <v>4556</v>
      </c>
      <c r="E46">
        <v>4553</v>
      </c>
      <c r="F46">
        <v>3937</v>
      </c>
      <c r="G46" t="s">
        <v>178</v>
      </c>
      <c r="H46" t="s">
        <v>179</v>
      </c>
      <c r="I46">
        <f t="shared" si="1"/>
        <v>0.88326978683471602</v>
      </c>
    </row>
    <row r="47" spans="1:9" x14ac:dyDescent="0.3">
      <c r="A47" t="s">
        <v>89</v>
      </c>
      <c r="B47">
        <v>500</v>
      </c>
      <c r="C47">
        <v>1</v>
      </c>
      <c r="D47">
        <v>4556</v>
      </c>
      <c r="E47">
        <v>4498</v>
      </c>
      <c r="F47">
        <v>4120</v>
      </c>
      <c r="G47" t="s">
        <v>180</v>
      </c>
      <c r="H47" t="s">
        <v>181</v>
      </c>
      <c r="I47">
        <f t="shared" si="1"/>
        <v>0.16288995742797799</v>
      </c>
    </row>
    <row r="48" spans="1:9" x14ac:dyDescent="0.3">
      <c r="A48" t="s">
        <v>89</v>
      </c>
      <c r="B48">
        <v>500</v>
      </c>
      <c r="C48">
        <v>10</v>
      </c>
      <c r="D48">
        <v>4556</v>
      </c>
      <c r="E48">
        <v>4541</v>
      </c>
      <c r="F48">
        <v>4051</v>
      </c>
      <c r="G48" t="s">
        <v>182</v>
      </c>
      <c r="H48" t="s">
        <v>183</v>
      </c>
      <c r="I48">
        <f t="shared" si="1"/>
        <v>0.12796139717102001</v>
      </c>
    </row>
    <row r="49" spans="1:9" x14ac:dyDescent="0.3">
      <c r="A49" t="s">
        <v>89</v>
      </c>
      <c r="B49">
        <v>500</v>
      </c>
      <c r="C49">
        <v>15</v>
      </c>
      <c r="D49">
        <v>4556</v>
      </c>
      <c r="E49">
        <v>4533</v>
      </c>
      <c r="F49">
        <v>4127</v>
      </c>
      <c r="G49" t="s">
        <v>184</v>
      </c>
      <c r="H49" t="s">
        <v>185</v>
      </c>
      <c r="I49">
        <f t="shared" si="1"/>
        <v>9.9621057510375893E-2</v>
      </c>
    </row>
    <row r="50" spans="1:9" x14ac:dyDescent="0.3">
      <c r="A50" t="s">
        <v>89</v>
      </c>
      <c r="B50">
        <v>500</v>
      </c>
      <c r="C50">
        <v>20</v>
      </c>
      <c r="D50">
        <v>4556</v>
      </c>
      <c r="E50">
        <v>4548</v>
      </c>
      <c r="F50">
        <v>4324</v>
      </c>
      <c r="G50" t="s">
        <v>186</v>
      </c>
      <c r="H50" t="s">
        <v>187</v>
      </c>
      <c r="I50">
        <f t="shared" si="1"/>
        <v>0.11865115165710401</v>
      </c>
    </row>
    <row r="51" spans="1:9" x14ac:dyDescent="0.3">
      <c r="A51" t="s">
        <v>89</v>
      </c>
      <c r="B51">
        <v>500</v>
      </c>
      <c r="C51">
        <v>5</v>
      </c>
      <c r="D51">
        <v>4556</v>
      </c>
      <c r="E51">
        <v>4540</v>
      </c>
      <c r="F51">
        <v>4400</v>
      </c>
      <c r="G51" t="s">
        <v>188</v>
      </c>
      <c r="H51" t="s">
        <v>189</v>
      </c>
      <c r="I51">
        <f t="shared" si="1"/>
        <v>0.12368512153625399</v>
      </c>
    </row>
    <row r="57" spans="1:9" x14ac:dyDescent="0.3">
      <c r="A57" t="s">
        <v>875</v>
      </c>
      <c r="B57">
        <f>AVERAGE(results_1_fusionné[tps_nb])</f>
        <v>39.549088301658557</v>
      </c>
    </row>
    <row r="58" spans="1:9" x14ac:dyDescent="0.3">
      <c r="A58" t="s">
        <v>874</v>
      </c>
      <c r="B58">
        <f>MAX(results_1_fusionné[Total profit])</f>
        <v>4514</v>
      </c>
    </row>
    <row r="60" spans="1:9" x14ac:dyDescent="0.3">
      <c r="A60" s="1" t="s">
        <v>870</v>
      </c>
      <c r="B60" t="s">
        <v>873</v>
      </c>
    </row>
    <row r="61" spans="1:9" x14ac:dyDescent="0.3">
      <c r="A61" s="2">
        <v>10</v>
      </c>
      <c r="B61">
        <v>4221</v>
      </c>
    </row>
    <row r="62" spans="1:9" x14ac:dyDescent="0.3">
      <c r="A62" s="2">
        <v>100</v>
      </c>
      <c r="B62">
        <v>4230</v>
      </c>
    </row>
    <row r="63" spans="1:9" x14ac:dyDescent="0.3">
      <c r="A63" s="2">
        <v>500</v>
      </c>
      <c r="B63">
        <v>4204.3999999999996</v>
      </c>
    </row>
    <row r="64" spans="1:9" x14ac:dyDescent="0.3">
      <c r="A64" s="2">
        <v>1000</v>
      </c>
      <c r="B64">
        <v>4175.3999999999996</v>
      </c>
    </row>
    <row r="65" spans="1:2" x14ac:dyDescent="0.3">
      <c r="A65" s="2">
        <v>5000</v>
      </c>
      <c r="B65">
        <v>4252.8</v>
      </c>
    </row>
    <row r="66" spans="1:2" x14ac:dyDescent="0.3">
      <c r="A66" s="2">
        <v>10000</v>
      </c>
      <c r="B66">
        <v>4149.8</v>
      </c>
    </row>
    <row r="67" spans="1:2" x14ac:dyDescent="0.3">
      <c r="A67" s="2">
        <v>50000</v>
      </c>
      <c r="B67">
        <v>4236.2</v>
      </c>
    </row>
    <row r="68" spans="1:2" x14ac:dyDescent="0.3">
      <c r="A68" s="2">
        <v>100000</v>
      </c>
      <c r="B68">
        <v>4096.6000000000004</v>
      </c>
    </row>
    <row r="69" spans="1:2" x14ac:dyDescent="0.3">
      <c r="A69" s="2">
        <v>500000</v>
      </c>
      <c r="B69">
        <v>4283.2</v>
      </c>
    </row>
    <row r="70" spans="1:2" x14ac:dyDescent="0.3">
      <c r="A70" s="2">
        <v>1000000</v>
      </c>
      <c r="B70">
        <v>4307.3999999999996</v>
      </c>
    </row>
    <row r="71" spans="1:2" x14ac:dyDescent="0.3">
      <c r="A71" s="2" t="s">
        <v>871</v>
      </c>
      <c r="B71">
        <v>4215.68</v>
      </c>
    </row>
    <row r="77" spans="1:2" x14ac:dyDescent="0.3">
      <c r="A77" s="1" t="s">
        <v>870</v>
      </c>
      <c r="B77" t="s">
        <v>873</v>
      </c>
    </row>
    <row r="78" spans="1:2" x14ac:dyDescent="0.3">
      <c r="A78" s="2">
        <v>1</v>
      </c>
      <c r="B78">
        <v>4185.3999999999996</v>
      </c>
    </row>
    <row r="79" spans="1:2" x14ac:dyDescent="0.3">
      <c r="A79" s="2">
        <v>5</v>
      </c>
      <c r="B79">
        <v>4127</v>
      </c>
    </row>
    <row r="80" spans="1:2" x14ac:dyDescent="0.3">
      <c r="A80" s="2">
        <v>10</v>
      </c>
      <c r="B80">
        <v>4217.8999999999996</v>
      </c>
    </row>
    <row r="81" spans="1:2" x14ac:dyDescent="0.3">
      <c r="A81" s="2">
        <v>15</v>
      </c>
      <c r="B81">
        <v>4306.7</v>
      </c>
    </row>
    <row r="82" spans="1:2" x14ac:dyDescent="0.3">
      <c r="A82" s="2">
        <v>20</v>
      </c>
      <c r="B82">
        <v>4241.3999999999996</v>
      </c>
    </row>
    <row r="83" spans="1:2" x14ac:dyDescent="0.3">
      <c r="A83" s="2" t="s">
        <v>871</v>
      </c>
      <c r="B83">
        <v>4215.68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2E19A-87BA-4242-AB1A-8CB0D7FD1551}">
  <dimension ref="A1:I83"/>
  <sheetViews>
    <sheetView topLeftCell="A52" workbookViewId="0">
      <selection activeCell="C72" sqref="C72"/>
    </sheetView>
  </sheetViews>
  <sheetFormatPr baseColWidth="10" defaultRowHeight="14.4" x14ac:dyDescent="0.3"/>
  <cols>
    <col min="1" max="1" width="19.5546875" bestFit="1" customWidth="1"/>
    <col min="2" max="2" width="20.21875" bestFit="1" customWidth="1"/>
    <col min="3" max="3" width="17.109375" bestFit="1" customWidth="1"/>
    <col min="4" max="4" width="11.6640625" bestFit="1" customWidth="1"/>
    <col min="5" max="5" width="13.109375" bestFit="1" customWidth="1"/>
    <col min="6" max="6" width="12.21875" bestFit="1" customWidth="1"/>
    <col min="7" max="7" width="18.88671875" bestFit="1" customWidth="1"/>
    <col min="8" max="8" width="62.6640625" bestFit="1" customWidth="1"/>
    <col min="9" max="9" width="16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t="s">
        <v>7</v>
      </c>
      <c r="I1" t="s">
        <v>876</v>
      </c>
    </row>
    <row r="2" spans="1:9" x14ac:dyDescent="0.3">
      <c r="A2" t="s">
        <v>190</v>
      </c>
      <c r="B2">
        <v>10</v>
      </c>
      <c r="C2">
        <v>1</v>
      </c>
      <c r="D2">
        <v>45132</v>
      </c>
      <c r="E2">
        <v>45132</v>
      </c>
      <c r="F2">
        <v>41114</v>
      </c>
      <c r="G2" t="s">
        <v>241</v>
      </c>
      <c r="H2" t="s">
        <v>242</v>
      </c>
      <c r="I2">
        <f t="shared" ref="I2:I33" si="0">IF(ISNUMBER(G2), G2, SUBSTITUTE(G2, ".", ",")*1)</f>
        <v>9.1615438461303697E-2</v>
      </c>
    </row>
    <row r="3" spans="1:9" x14ac:dyDescent="0.3">
      <c r="A3" t="s">
        <v>190</v>
      </c>
      <c r="B3">
        <v>10</v>
      </c>
      <c r="C3">
        <v>5</v>
      </c>
      <c r="D3">
        <v>45132</v>
      </c>
      <c r="E3">
        <v>45131</v>
      </c>
      <c r="F3">
        <v>41463</v>
      </c>
      <c r="G3" t="s">
        <v>249</v>
      </c>
      <c r="H3" t="s">
        <v>250</v>
      </c>
      <c r="I3">
        <f t="shared" si="0"/>
        <v>6.5592050552368095E-2</v>
      </c>
    </row>
    <row r="4" spans="1:9" x14ac:dyDescent="0.3">
      <c r="A4" t="s">
        <v>190</v>
      </c>
      <c r="B4">
        <v>10</v>
      </c>
      <c r="C4">
        <v>10</v>
      </c>
      <c r="D4">
        <v>45132</v>
      </c>
      <c r="E4">
        <v>45132</v>
      </c>
      <c r="F4">
        <v>41114</v>
      </c>
      <c r="G4" t="s">
        <v>243</v>
      </c>
      <c r="H4" t="s">
        <v>244</v>
      </c>
      <c r="I4">
        <f t="shared" si="0"/>
        <v>6.2212467193603502E-2</v>
      </c>
    </row>
    <row r="5" spans="1:9" x14ac:dyDescent="0.3">
      <c r="A5" t="s">
        <v>190</v>
      </c>
      <c r="B5">
        <v>10</v>
      </c>
      <c r="C5">
        <v>15</v>
      </c>
      <c r="D5">
        <v>45132</v>
      </c>
      <c r="E5">
        <v>45111</v>
      </c>
      <c r="F5">
        <v>41653</v>
      </c>
      <c r="G5" t="s">
        <v>245</v>
      </c>
      <c r="H5" t="s">
        <v>246</v>
      </c>
      <c r="I5">
        <f t="shared" si="0"/>
        <v>6.6620588302612305E-2</v>
      </c>
    </row>
    <row r="6" spans="1:9" x14ac:dyDescent="0.3">
      <c r="A6" t="s">
        <v>190</v>
      </c>
      <c r="B6">
        <v>10</v>
      </c>
      <c r="C6">
        <v>20</v>
      </c>
      <c r="D6">
        <v>45132</v>
      </c>
      <c r="E6">
        <v>45111</v>
      </c>
      <c r="F6">
        <v>41653</v>
      </c>
      <c r="G6" t="s">
        <v>247</v>
      </c>
      <c r="H6" t="s">
        <v>248</v>
      </c>
      <c r="I6">
        <f t="shared" si="0"/>
        <v>6.9895505905151298E-2</v>
      </c>
    </row>
    <row r="7" spans="1:9" x14ac:dyDescent="0.3">
      <c r="A7" t="s">
        <v>190</v>
      </c>
      <c r="B7">
        <v>100</v>
      </c>
      <c r="C7">
        <v>1</v>
      </c>
      <c r="D7">
        <v>45132</v>
      </c>
      <c r="E7">
        <v>45132</v>
      </c>
      <c r="F7">
        <v>41114</v>
      </c>
      <c r="G7" t="s">
        <v>231</v>
      </c>
      <c r="H7" t="s">
        <v>232</v>
      </c>
      <c r="I7">
        <f t="shared" si="0"/>
        <v>0.54504299163818304</v>
      </c>
    </row>
    <row r="8" spans="1:9" x14ac:dyDescent="0.3">
      <c r="A8" t="s">
        <v>190</v>
      </c>
      <c r="B8">
        <v>100</v>
      </c>
      <c r="C8">
        <v>5</v>
      </c>
      <c r="D8">
        <v>45132</v>
      </c>
      <c r="E8">
        <v>45126</v>
      </c>
      <c r="F8">
        <v>40492</v>
      </c>
      <c r="G8" t="s">
        <v>239</v>
      </c>
      <c r="H8" t="s">
        <v>240</v>
      </c>
      <c r="I8">
        <f t="shared" si="0"/>
        <v>0.59246444702148404</v>
      </c>
    </row>
    <row r="9" spans="1:9" x14ac:dyDescent="0.3">
      <c r="A9" t="s">
        <v>190</v>
      </c>
      <c r="B9">
        <v>100</v>
      </c>
      <c r="C9">
        <v>10</v>
      </c>
      <c r="D9">
        <v>45132</v>
      </c>
      <c r="E9">
        <v>45107</v>
      </c>
      <c r="F9">
        <v>41691</v>
      </c>
      <c r="G9" t="s">
        <v>233</v>
      </c>
      <c r="H9" t="s">
        <v>234</v>
      </c>
      <c r="I9">
        <f t="shared" si="0"/>
        <v>0.59229540824890103</v>
      </c>
    </row>
    <row r="10" spans="1:9" x14ac:dyDescent="0.3">
      <c r="A10" t="s">
        <v>190</v>
      </c>
      <c r="B10">
        <v>100</v>
      </c>
      <c r="C10">
        <v>15</v>
      </c>
      <c r="D10">
        <v>45132</v>
      </c>
      <c r="E10">
        <v>45116</v>
      </c>
      <c r="F10">
        <v>41266</v>
      </c>
      <c r="G10" t="s">
        <v>235</v>
      </c>
      <c r="H10" t="s">
        <v>236</v>
      </c>
      <c r="I10">
        <f t="shared" si="0"/>
        <v>0.57576560974121005</v>
      </c>
    </row>
    <row r="11" spans="1:9" x14ac:dyDescent="0.3">
      <c r="A11" t="s">
        <v>190</v>
      </c>
      <c r="B11">
        <v>100</v>
      </c>
      <c r="C11">
        <v>20</v>
      </c>
      <c r="D11">
        <v>45132</v>
      </c>
      <c r="E11">
        <v>45114</v>
      </c>
      <c r="F11">
        <v>41964</v>
      </c>
      <c r="G11" t="s">
        <v>237</v>
      </c>
      <c r="H11" t="s">
        <v>238</v>
      </c>
      <c r="I11">
        <f t="shared" si="0"/>
        <v>0.62767362594604403</v>
      </c>
    </row>
    <row r="12" spans="1:9" x14ac:dyDescent="0.3">
      <c r="A12" t="s">
        <v>190</v>
      </c>
      <c r="B12">
        <v>500</v>
      </c>
      <c r="C12">
        <v>1</v>
      </c>
      <c r="D12">
        <v>45132</v>
      </c>
      <c r="E12">
        <v>45126</v>
      </c>
      <c r="F12">
        <v>41850</v>
      </c>
      <c r="G12" t="s">
        <v>281</v>
      </c>
      <c r="H12" t="s">
        <v>282</v>
      </c>
      <c r="I12">
        <f t="shared" si="0"/>
        <v>2.4934215545654199</v>
      </c>
    </row>
    <row r="13" spans="1:9" x14ac:dyDescent="0.3">
      <c r="A13" t="s">
        <v>190</v>
      </c>
      <c r="B13">
        <v>500</v>
      </c>
      <c r="C13">
        <v>5</v>
      </c>
      <c r="D13">
        <v>45132</v>
      </c>
      <c r="E13">
        <v>45119</v>
      </c>
      <c r="F13">
        <v>41577</v>
      </c>
      <c r="G13" t="s">
        <v>289</v>
      </c>
      <c r="H13" t="s">
        <v>290</v>
      </c>
      <c r="I13">
        <f t="shared" si="0"/>
        <v>2.5864441394805899</v>
      </c>
    </row>
    <row r="14" spans="1:9" x14ac:dyDescent="0.3">
      <c r="A14" t="s">
        <v>190</v>
      </c>
      <c r="B14">
        <v>500</v>
      </c>
      <c r="C14">
        <v>10</v>
      </c>
      <c r="D14">
        <v>45132</v>
      </c>
      <c r="E14">
        <v>45113</v>
      </c>
      <c r="F14">
        <v>40955</v>
      </c>
      <c r="G14" t="s">
        <v>283</v>
      </c>
      <c r="H14" t="s">
        <v>284</v>
      </c>
      <c r="I14">
        <f t="shared" si="0"/>
        <v>2.97016048431396</v>
      </c>
    </row>
    <row r="15" spans="1:9" x14ac:dyDescent="0.3">
      <c r="A15" t="s">
        <v>190</v>
      </c>
      <c r="B15">
        <v>500</v>
      </c>
      <c r="C15">
        <v>15</v>
      </c>
      <c r="D15">
        <v>45132</v>
      </c>
      <c r="E15">
        <v>45104</v>
      </c>
      <c r="F15">
        <v>41380</v>
      </c>
      <c r="G15" t="s">
        <v>285</v>
      </c>
      <c r="H15" t="s">
        <v>286</v>
      </c>
      <c r="I15">
        <f t="shared" si="0"/>
        <v>2.9943680763244598</v>
      </c>
    </row>
    <row r="16" spans="1:9" x14ac:dyDescent="0.3">
      <c r="A16" t="s">
        <v>190</v>
      </c>
      <c r="B16">
        <v>500</v>
      </c>
      <c r="C16">
        <v>20</v>
      </c>
      <c r="D16">
        <v>45132</v>
      </c>
      <c r="E16">
        <v>45130</v>
      </c>
      <c r="F16">
        <v>41812</v>
      </c>
      <c r="G16" t="s">
        <v>287</v>
      </c>
      <c r="H16" t="s">
        <v>288</v>
      </c>
      <c r="I16">
        <f t="shared" si="0"/>
        <v>3.57198810577392</v>
      </c>
    </row>
    <row r="17" spans="1:9" x14ac:dyDescent="0.3">
      <c r="A17" t="s">
        <v>190</v>
      </c>
      <c r="B17">
        <v>1000</v>
      </c>
      <c r="C17">
        <v>1</v>
      </c>
      <c r="D17">
        <v>45132</v>
      </c>
      <c r="E17">
        <v>45116</v>
      </c>
      <c r="F17">
        <v>41266</v>
      </c>
      <c r="G17" t="s">
        <v>221</v>
      </c>
      <c r="H17" t="s">
        <v>222</v>
      </c>
      <c r="I17">
        <f t="shared" si="0"/>
        <v>6.5360932350158603</v>
      </c>
    </row>
    <row r="18" spans="1:9" x14ac:dyDescent="0.3">
      <c r="A18" t="s">
        <v>190</v>
      </c>
      <c r="B18">
        <v>1000</v>
      </c>
      <c r="C18">
        <v>5</v>
      </c>
      <c r="D18">
        <v>45132</v>
      </c>
      <c r="E18">
        <v>45126</v>
      </c>
      <c r="F18">
        <v>41850</v>
      </c>
      <c r="G18" t="s">
        <v>229</v>
      </c>
      <c r="H18" t="s">
        <v>230</v>
      </c>
      <c r="I18">
        <f t="shared" si="0"/>
        <v>5.7488901615142796</v>
      </c>
    </row>
    <row r="19" spans="1:9" x14ac:dyDescent="0.3">
      <c r="A19" t="s">
        <v>190</v>
      </c>
      <c r="B19">
        <v>1000</v>
      </c>
      <c r="C19">
        <v>10</v>
      </c>
      <c r="D19">
        <v>45132</v>
      </c>
      <c r="E19">
        <v>45107</v>
      </c>
      <c r="F19">
        <v>41691</v>
      </c>
      <c r="G19" t="s">
        <v>223</v>
      </c>
      <c r="H19" t="s">
        <v>224</v>
      </c>
      <c r="I19">
        <f t="shared" si="0"/>
        <v>6.0177130699157697</v>
      </c>
    </row>
    <row r="20" spans="1:9" x14ac:dyDescent="0.3">
      <c r="A20" t="s">
        <v>190</v>
      </c>
      <c r="B20">
        <v>1000</v>
      </c>
      <c r="C20">
        <v>15</v>
      </c>
      <c r="D20">
        <v>45132</v>
      </c>
      <c r="E20">
        <v>45103</v>
      </c>
      <c r="F20">
        <v>40371</v>
      </c>
      <c r="G20" t="s">
        <v>225</v>
      </c>
      <c r="H20" t="s">
        <v>226</v>
      </c>
      <c r="I20">
        <f t="shared" si="0"/>
        <v>5.85048103332519</v>
      </c>
    </row>
    <row r="21" spans="1:9" x14ac:dyDescent="0.3">
      <c r="A21" t="s">
        <v>190</v>
      </c>
      <c r="B21">
        <v>1000</v>
      </c>
      <c r="C21">
        <v>20</v>
      </c>
      <c r="D21">
        <v>45132</v>
      </c>
      <c r="E21">
        <v>45116</v>
      </c>
      <c r="F21">
        <v>41266</v>
      </c>
      <c r="G21" t="s">
        <v>227</v>
      </c>
      <c r="H21" t="s">
        <v>228</v>
      </c>
      <c r="I21">
        <f t="shared" si="0"/>
        <v>5.5689456462860099</v>
      </c>
    </row>
    <row r="22" spans="1:9" x14ac:dyDescent="0.3">
      <c r="A22" t="s">
        <v>190</v>
      </c>
      <c r="B22">
        <v>5000</v>
      </c>
      <c r="C22">
        <v>1</v>
      </c>
      <c r="D22">
        <v>45132</v>
      </c>
      <c r="E22">
        <v>45128</v>
      </c>
      <c r="F22">
        <v>41152</v>
      </c>
      <c r="G22" t="s">
        <v>271</v>
      </c>
      <c r="H22" t="s">
        <v>272</v>
      </c>
      <c r="I22">
        <f t="shared" si="0"/>
        <v>25.158998489379801</v>
      </c>
    </row>
    <row r="23" spans="1:9" x14ac:dyDescent="0.3">
      <c r="A23" t="s">
        <v>190</v>
      </c>
      <c r="B23">
        <v>5000</v>
      </c>
      <c r="C23">
        <v>5</v>
      </c>
      <c r="D23">
        <v>45132</v>
      </c>
      <c r="E23">
        <v>45121</v>
      </c>
      <c r="F23">
        <v>40879</v>
      </c>
      <c r="G23" t="s">
        <v>279</v>
      </c>
      <c r="H23" t="s">
        <v>280</v>
      </c>
      <c r="I23">
        <f t="shared" si="0"/>
        <v>27.9068830013275</v>
      </c>
    </row>
    <row r="24" spans="1:9" x14ac:dyDescent="0.3">
      <c r="A24" t="s">
        <v>190</v>
      </c>
      <c r="B24">
        <v>5000</v>
      </c>
      <c r="C24">
        <v>10</v>
      </c>
      <c r="D24">
        <v>45132</v>
      </c>
      <c r="E24">
        <v>45108</v>
      </c>
      <c r="F24">
        <v>41342</v>
      </c>
      <c r="G24" t="s">
        <v>273</v>
      </c>
      <c r="H24" t="s">
        <v>274</v>
      </c>
      <c r="I24">
        <f t="shared" si="0"/>
        <v>28.860580921173</v>
      </c>
    </row>
    <row r="25" spans="1:9" x14ac:dyDescent="0.3">
      <c r="A25" t="s">
        <v>190</v>
      </c>
      <c r="B25">
        <v>5000</v>
      </c>
      <c r="C25">
        <v>15</v>
      </c>
      <c r="D25">
        <v>45132</v>
      </c>
      <c r="E25">
        <v>45132</v>
      </c>
      <c r="F25">
        <v>41114</v>
      </c>
      <c r="G25" t="s">
        <v>275</v>
      </c>
      <c r="H25" t="s">
        <v>276</v>
      </c>
      <c r="I25">
        <f t="shared" si="0"/>
        <v>29.2213983535766</v>
      </c>
    </row>
    <row r="26" spans="1:9" x14ac:dyDescent="0.3">
      <c r="A26" t="s">
        <v>190</v>
      </c>
      <c r="B26">
        <v>5000</v>
      </c>
      <c r="C26">
        <v>20</v>
      </c>
      <c r="D26">
        <v>45132</v>
      </c>
      <c r="E26">
        <v>45118</v>
      </c>
      <c r="F26">
        <v>41926</v>
      </c>
      <c r="G26" t="s">
        <v>277</v>
      </c>
      <c r="H26" t="s">
        <v>278</v>
      </c>
      <c r="I26">
        <f t="shared" si="0"/>
        <v>29.329960346221899</v>
      </c>
    </row>
    <row r="27" spans="1:9" x14ac:dyDescent="0.3">
      <c r="A27" t="s">
        <v>190</v>
      </c>
      <c r="B27">
        <v>10000</v>
      </c>
      <c r="C27">
        <v>1</v>
      </c>
      <c r="D27">
        <v>45132</v>
      </c>
      <c r="E27">
        <v>45110</v>
      </c>
      <c r="F27">
        <v>40644</v>
      </c>
      <c r="G27" t="s">
        <v>211</v>
      </c>
      <c r="H27" t="s">
        <v>212</v>
      </c>
      <c r="I27">
        <f t="shared" si="0"/>
        <v>56.088557720184298</v>
      </c>
    </row>
    <row r="28" spans="1:9" x14ac:dyDescent="0.3">
      <c r="A28" t="s">
        <v>190</v>
      </c>
      <c r="B28">
        <v>10000</v>
      </c>
      <c r="C28">
        <v>5</v>
      </c>
      <c r="D28">
        <v>45132</v>
      </c>
      <c r="E28">
        <v>45103</v>
      </c>
      <c r="F28">
        <v>40371</v>
      </c>
      <c r="G28" t="s">
        <v>219</v>
      </c>
      <c r="H28" t="s">
        <v>220</v>
      </c>
      <c r="I28">
        <f t="shared" si="0"/>
        <v>57.893582105636597</v>
      </c>
    </row>
    <row r="29" spans="1:9" x14ac:dyDescent="0.3">
      <c r="A29" t="s">
        <v>190</v>
      </c>
      <c r="B29">
        <v>10000</v>
      </c>
      <c r="C29">
        <v>10</v>
      </c>
      <c r="D29">
        <v>45132</v>
      </c>
      <c r="E29">
        <v>45129</v>
      </c>
      <c r="F29">
        <v>40803</v>
      </c>
      <c r="G29" t="s">
        <v>213</v>
      </c>
      <c r="H29" t="s">
        <v>214</v>
      </c>
      <c r="I29">
        <f t="shared" si="0"/>
        <v>56.125437021255401</v>
      </c>
    </row>
    <row r="30" spans="1:9" x14ac:dyDescent="0.3">
      <c r="A30" t="s">
        <v>190</v>
      </c>
      <c r="B30">
        <v>10000</v>
      </c>
      <c r="C30">
        <v>15</v>
      </c>
      <c r="D30">
        <v>45132</v>
      </c>
      <c r="E30">
        <v>45121</v>
      </c>
      <c r="F30">
        <v>40879</v>
      </c>
      <c r="G30" t="s">
        <v>215</v>
      </c>
      <c r="H30" t="s">
        <v>216</v>
      </c>
      <c r="I30">
        <f t="shared" si="0"/>
        <v>58.954071044921797</v>
      </c>
    </row>
    <row r="31" spans="1:9" x14ac:dyDescent="0.3">
      <c r="A31" t="s">
        <v>190</v>
      </c>
      <c r="B31">
        <v>10000</v>
      </c>
      <c r="C31">
        <v>20</v>
      </c>
      <c r="D31">
        <v>45132</v>
      </c>
      <c r="E31">
        <v>45128</v>
      </c>
      <c r="F31">
        <v>41152</v>
      </c>
      <c r="G31" t="s">
        <v>217</v>
      </c>
      <c r="H31" t="s">
        <v>218</v>
      </c>
      <c r="I31">
        <f t="shared" si="0"/>
        <v>53.9325141906738</v>
      </c>
    </row>
    <row r="32" spans="1:9" x14ac:dyDescent="0.3">
      <c r="A32" t="s">
        <v>190</v>
      </c>
      <c r="B32">
        <v>50000</v>
      </c>
      <c r="C32">
        <v>1</v>
      </c>
      <c r="D32">
        <v>45132</v>
      </c>
      <c r="E32">
        <v>45128</v>
      </c>
      <c r="F32">
        <v>41152</v>
      </c>
      <c r="G32" t="s">
        <v>261</v>
      </c>
      <c r="H32" t="s">
        <v>262</v>
      </c>
      <c r="I32">
        <f t="shared" si="0"/>
        <v>275.569194793701</v>
      </c>
    </row>
    <row r="33" spans="1:9" x14ac:dyDescent="0.3">
      <c r="A33" t="s">
        <v>190</v>
      </c>
      <c r="B33">
        <v>50000</v>
      </c>
      <c r="C33">
        <v>5</v>
      </c>
      <c r="D33">
        <v>45132</v>
      </c>
      <c r="E33">
        <v>45128</v>
      </c>
      <c r="F33">
        <v>41152</v>
      </c>
      <c r="G33" t="s">
        <v>269</v>
      </c>
      <c r="H33" t="s">
        <v>270</v>
      </c>
      <c r="I33">
        <f t="shared" si="0"/>
        <v>281.77644109725901</v>
      </c>
    </row>
    <row r="34" spans="1:9" x14ac:dyDescent="0.3">
      <c r="A34" t="s">
        <v>190</v>
      </c>
      <c r="B34">
        <v>50000</v>
      </c>
      <c r="C34">
        <v>10</v>
      </c>
      <c r="D34">
        <v>45132</v>
      </c>
      <c r="E34">
        <v>45131</v>
      </c>
      <c r="F34">
        <v>41463</v>
      </c>
      <c r="G34" t="s">
        <v>263</v>
      </c>
      <c r="H34" t="s">
        <v>264</v>
      </c>
      <c r="I34">
        <f t="shared" ref="I34:I51" si="1">IF(ISNUMBER(G34), G34, SUBSTITUTE(G34, ".", ",")*1)</f>
        <v>291.668449878692</v>
      </c>
    </row>
    <row r="35" spans="1:9" x14ac:dyDescent="0.3">
      <c r="A35" t="s">
        <v>190</v>
      </c>
      <c r="B35">
        <v>50000</v>
      </c>
      <c r="C35">
        <v>15</v>
      </c>
      <c r="D35">
        <v>45132</v>
      </c>
      <c r="E35">
        <v>45115</v>
      </c>
      <c r="F35">
        <v>41615</v>
      </c>
      <c r="G35" t="s">
        <v>265</v>
      </c>
      <c r="H35" t="s">
        <v>266</v>
      </c>
      <c r="I35">
        <f t="shared" si="1"/>
        <v>295.53466176986598</v>
      </c>
    </row>
    <row r="36" spans="1:9" x14ac:dyDescent="0.3">
      <c r="A36" t="s">
        <v>190</v>
      </c>
      <c r="B36">
        <v>50000</v>
      </c>
      <c r="C36">
        <v>20</v>
      </c>
      <c r="D36">
        <v>45132</v>
      </c>
      <c r="E36">
        <v>45118</v>
      </c>
      <c r="F36">
        <v>41926</v>
      </c>
      <c r="G36" t="s">
        <v>267</v>
      </c>
      <c r="H36" t="s">
        <v>268</v>
      </c>
      <c r="I36">
        <f t="shared" si="1"/>
        <v>280.94441890716502</v>
      </c>
    </row>
    <row r="37" spans="1:9" x14ac:dyDescent="0.3">
      <c r="A37" t="s">
        <v>190</v>
      </c>
      <c r="B37">
        <v>100000</v>
      </c>
      <c r="C37">
        <v>1</v>
      </c>
      <c r="D37">
        <v>45132</v>
      </c>
      <c r="E37">
        <v>45109</v>
      </c>
      <c r="F37">
        <v>40993</v>
      </c>
      <c r="G37" t="s">
        <v>201</v>
      </c>
      <c r="H37" t="s">
        <v>202</v>
      </c>
      <c r="I37">
        <f t="shared" si="1"/>
        <v>634.41039299964905</v>
      </c>
    </row>
    <row r="38" spans="1:9" x14ac:dyDescent="0.3">
      <c r="A38" t="s">
        <v>190</v>
      </c>
      <c r="B38">
        <v>100000</v>
      </c>
      <c r="C38">
        <v>5</v>
      </c>
      <c r="D38">
        <v>45132</v>
      </c>
      <c r="E38">
        <v>45126</v>
      </c>
      <c r="F38">
        <v>41850</v>
      </c>
      <c r="G38" t="s">
        <v>209</v>
      </c>
      <c r="H38" t="s">
        <v>210</v>
      </c>
      <c r="I38">
        <f t="shared" si="1"/>
        <v>549.14186525344803</v>
      </c>
    </row>
    <row r="39" spans="1:9" x14ac:dyDescent="0.3">
      <c r="A39" t="s">
        <v>190</v>
      </c>
      <c r="B39">
        <v>100000</v>
      </c>
      <c r="C39">
        <v>10</v>
      </c>
      <c r="D39">
        <v>45132</v>
      </c>
      <c r="E39">
        <v>45118</v>
      </c>
      <c r="F39">
        <v>41926</v>
      </c>
      <c r="G39" t="s">
        <v>203</v>
      </c>
      <c r="H39" t="s">
        <v>204</v>
      </c>
      <c r="I39">
        <f t="shared" si="1"/>
        <v>557.02778339385895</v>
      </c>
    </row>
    <row r="40" spans="1:9" x14ac:dyDescent="0.3">
      <c r="A40" t="s">
        <v>190</v>
      </c>
      <c r="B40">
        <v>100000</v>
      </c>
      <c r="C40">
        <v>15</v>
      </c>
      <c r="D40">
        <v>45132</v>
      </c>
      <c r="E40">
        <v>45114</v>
      </c>
      <c r="F40">
        <v>41964</v>
      </c>
      <c r="G40" t="s">
        <v>205</v>
      </c>
      <c r="H40" t="s">
        <v>206</v>
      </c>
      <c r="I40">
        <f t="shared" si="1"/>
        <v>548.76472067832901</v>
      </c>
    </row>
    <row r="41" spans="1:9" x14ac:dyDescent="0.3">
      <c r="A41" t="s">
        <v>190</v>
      </c>
      <c r="B41">
        <v>100000</v>
      </c>
      <c r="C41">
        <v>20</v>
      </c>
      <c r="D41">
        <v>45132</v>
      </c>
      <c r="E41">
        <v>45113</v>
      </c>
      <c r="F41">
        <v>40955</v>
      </c>
      <c r="G41" t="s">
        <v>207</v>
      </c>
      <c r="H41" t="s">
        <v>208</v>
      </c>
      <c r="I41">
        <f t="shared" si="1"/>
        <v>615.54106235504105</v>
      </c>
    </row>
    <row r="42" spans="1:9" x14ac:dyDescent="0.3">
      <c r="A42" t="s">
        <v>190</v>
      </c>
      <c r="B42">
        <v>500000</v>
      </c>
      <c r="C42">
        <v>1</v>
      </c>
      <c r="D42">
        <v>45132</v>
      </c>
      <c r="E42">
        <v>45102</v>
      </c>
      <c r="F42">
        <v>40720</v>
      </c>
      <c r="G42" t="s">
        <v>251</v>
      </c>
      <c r="H42" t="s">
        <v>252</v>
      </c>
      <c r="I42">
        <f t="shared" si="1"/>
        <v>2844.2579212188698</v>
      </c>
    </row>
    <row r="43" spans="1:9" x14ac:dyDescent="0.3">
      <c r="A43" t="s">
        <v>190</v>
      </c>
      <c r="B43">
        <v>500000</v>
      </c>
      <c r="C43">
        <v>5</v>
      </c>
      <c r="D43">
        <v>45132</v>
      </c>
      <c r="E43">
        <v>45109</v>
      </c>
      <c r="F43">
        <v>40993</v>
      </c>
      <c r="G43" t="s">
        <v>259</v>
      </c>
      <c r="H43" t="s">
        <v>260</v>
      </c>
      <c r="I43">
        <f t="shared" si="1"/>
        <v>2628.58809518814</v>
      </c>
    </row>
    <row r="44" spans="1:9" x14ac:dyDescent="0.3">
      <c r="A44" t="s">
        <v>190</v>
      </c>
      <c r="B44">
        <v>500000</v>
      </c>
      <c r="C44">
        <v>10</v>
      </c>
      <c r="D44">
        <v>45132</v>
      </c>
      <c r="E44">
        <v>45105</v>
      </c>
      <c r="F44">
        <v>42389</v>
      </c>
      <c r="G44" t="s">
        <v>253</v>
      </c>
      <c r="H44" t="s">
        <v>254</v>
      </c>
      <c r="I44">
        <f t="shared" si="1"/>
        <v>2713.8731825351701</v>
      </c>
    </row>
    <row r="45" spans="1:9" x14ac:dyDescent="0.3">
      <c r="A45" t="s">
        <v>190</v>
      </c>
      <c r="B45">
        <v>500000</v>
      </c>
      <c r="C45">
        <v>15</v>
      </c>
      <c r="D45">
        <v>45132</v>
      </c>
      <c r="E45">
        <v>45118</v>
      </c>
      <c r="F45">
        <v>41926</v>
      </c>
      <c r="G45" t="s">
        <v>255</v>
      </c>
      <c r="H45" t="s">
        <v>256</v>
      </c>
      <c r="I45">
        <f t="shared" si="1"/>
        <v>2706.42637920379</v>
      </c>
    </row>
    <row r="46" spans="1:9" x14ac:dyDescent="0.3">
      <c r="A46" t="s">
        <v>190</v>
      </c>
      <c r="B46">
        <v>500000</v>
      </c>
      <c r="C46">
        <v>20</v>
      </c>
      <c r="D46">
        <v>45132</v>
      </c>
      <c r="E46">
        <v>45132</v>
      </c>
      <c r="F46">
        <v>41114</v>
      </c>
      <c r="G46" t="s">
        <v>257</v>
      </c>
      <c r="H46" t="s">
        <v>258</v>
      </c>
      <c r="I46">
        <f t="shared" si="1"/>
        <v>2796.6260612010901</v>
      </c>
    </row>
    <row r="47" spans="1:9" x14ac:dyDescent="0.3">
      <c r="A47" t="s">
        <v>190</v>
      </c>
      <c r="B47">
        <v>1000000</v>
      </c>
      <c r="C47">
        <v>1</v>
      </c>
      <c r="D47">
        <v>45132</v>
      </c>
      <c r="E47">
        <v>45132</v>
      </c>
      <c r="F47">
        <v>41114</v>
      </c>
      <c r="G47" t="s">
        <v>191</v>
      </c>
      <c r="H47" t="s">
        <v>192</v>
      </c>
      <c r="I47">
        <f t="shared" si="1"/>
        <v>5612.4426164627002</v>
      </c>
    </row>
    <row r="48" spans="1:9" x14ac:dyDescent="0.3">
      <c r="A48" t="s">
        <v>190</v>
      </c>
      <c r="B48">
        <v>1000000</v>
      </c>
      <c r="C48">
        <v>5</v>
      </c>
      <c r="D48">
        <v>45132</v>
      </c>
      <c r="E48">
        <v>45114</v>
      </c>
      <c r="F48">
        <v>41964</v>
      </c>
      <c r="G48" t="s">
        <v>199</v>
      </c>
      <c r="H48" t="s">
        <v>200</v>
      </c>
      <c r="I48">
        <f t="shared" si="1"/>
        <v>5384.4393067359897</v>
      </c>
    </row>
    <row r="49" spans="1:9" x14ac:dyDescent="0.3">
      <c r="A49" t="s">
        <v>190</v>
      </c>
      <c r="B49">
        <v>1000000</v>
      </c>
      <c r="C49">
        <v>10</v>
      </c>
      <c r="D49">
        <v>45132</v>
      </c>
      <c r="E49">
        <v>45125</v>
      </c>
      <c r="F49">
        <v>40841</v>
      </c>
      <c r="G49" t="s">
        <v>193</v>
      </c>
      <c r="H49" t="s">
        <v>194</v>
      </c>
      <c r="I49">
        <f t="shared" si="1"/>
        <v>5594.74869012832</v>
      </c>
    </row>
    <row r="50" spans="1:9" x14ac:dyDescent="0.3">
      <c r="A50" t="s">
        <v>190</v>
      </c>
      <c r="B50">
        <v>1000000</v>
      </c>
      <c r="C50">
        <v>15</v>
      </c>
      <c r="D50">
        <v>45132</v>
      </c>
      <c r="E50">
        <v>45109</v>
      </c>
      <c r="F50">
        <v>40993</v>
      </c>
      <c r="G50" t="s">
        <v>195</v>
      </c>
      <c r="H50" t="s">
        <v>196</v>
      </c>
      <c r="I50">
        <f t="shared" si="1"/>
        <v>5521.0316743850699</v>
      </c>
    </row>
    <row r="51" spans="1:9" x14ac:dyDescent="0.3">
      <c r="A51" t="s">
        <v>190</v>
      </c>
      <c r="B51">
        <v>1000000</v>
      </c>
      <c r="C51">
        <v>20</v>
      </c>
      <c r="D51">
        <v>45132</v>
      </c>
      <c r="E51">
        <v>45107</v>
      </c>
      <c r="F51">
        <v>41691</v>
      </c>
      <c r="G51" t="s">
        <v>197</v>
      </c>
      <c r="H51" t="s">
        <v>198</v>
      </c>
      <c r="I51">
        <f t="shared" si="1"/>
        <v>5774.5917150974201</v>
      </c>
    </row>
    <row r="57" spans="1:9" x14ac:dyDescent="0.3">
      <c r="A57" t="s">
        <v>875</v>
      </c>
      <c r="B57">
        <f>AVERAGE(results_2_fusionné[tps_nb])</f>
        <v>927.57008600234894</v>
      </c>
    </row>
    <row r="58" spans="1:9" x14ac:dyDescent="0.3">
      <c r="A58" t="s">
        <v>874</v>
      </c>
      <c r="B58">
        <f>MAX(results_2_fusionné[Total profit])</f>
        <v>42389</v>
      </c>
    </row>
    <row r="60" spans="1:9" x14ac:dyDescent="0.3">
      <c r="A60" s="1" t="s">
        <v>870</v>
      </c>
      <c r="B60" t="s">
        <v>873</v>
      </c>
    </row>
    <row r="61" spans="1:9" x14ac:dyDescent="0.3">
      <c r="A61" s="2">
        <v>10</v>
      </c>
      <c r="B61">
        <v>41399.4</v>
      </c>
    </row>
    <row r="62" spans="1:9" x14ac:dyDescent="0.3">
      <c r="A62" s="2">
        <v>100</v>
      </c>
      <c r="B62">
        <v>41305.4</v>
      </c>
    </row>
    <row r="63" spans="1:9" x14ac:dyDescent="0.3">
      <c r="A63" s="2">
        <v>500</v>
      </c>
      <c r="B63">
        <v>41514.800000000003</v>
      </c>
    </row>
    <row r="64" spans="1:9" x14ac:dyDescent="0.3">
      <c r="A64" s="2">
        <v>1000</v>
      </c>
      <c r="B64">
        <v>41288.800000000003</v>
      </c>
    </row>
    <row r="65" spans="1:2" x14ac:dyDescent="0.3">
      <c r="A65" s="2">
        <v>5000</v>
      </c>
      <c r="B65">
        <v>41282.6</v>
      </c>
    </row>
    <row r="66" spans="1:2" x14ac:dyDescent="0.3">
      <c r="A66" s="2">
        <v>10000</v>
      </c>
      <c r="B66">
        <v>40769.800000000003</v>
      </c>
    </row>
    <row r="67" spans="1:2" x14ac:dyDescent="0.3">
      <c r="A67" s="2">
        <v>50000</v>
      </c>
      <c r="B67">
        <v>41461.599999999999</v>
      </c>
    </row>
    <row r="68" spans="1:2" x14ac:dyDescent="0.3">
      <c r="A68" s="2">
        <v>100000</v>
      </c>
      <c r="B68">
        <v>41537.599999999999</v>
      </c>
    </row>
    <row r="69" spans="1:2" x14ac:dyDescent="0.3">
      <c r="A69" s="2">
        <v>500000</v>
      </c>
      <c r="B69">
        <v>41428.400000000001</v>
      </c>
    </row>
    <row r="70" spans="1:2" x14ac:dyDescent="0.3">
      <c r="A70" s="2">
        <v>1000000</v>
      </c>
      <c r="B70">
        <v>41320.6</v>
      </c>
    </row>
    <row r="71" spans="1:2" x14ac:dyDescent="0.3">
      <c r="A71" s="2" t="s">
        <v>871</v>
      </c>
      <c r="B71">
        <v>41330.9</v>
      </c>
    </row>
    <row r="77" spans="1:2" x14ac:dyDescent="0.3">
      <c r="A77" s="1" t="s">
        <v>870</v>
      </c>
      <c r="B77" t="s">
        <v>873</v>
      </c>
    </row>
    <row r="78" spans="1:2" x14ac:dyDescent="0.3">
      <c r="A78" s="2">
        <v>1</v>
      </c>
      <c r="B78">
        <v>41111.9</v>
      </c>
    </row>
    <row r="79" spans="1:2" x14ac:dyDescent="0.3">
      <c r="A79" s="2">
        <v>5</v>
      </c>
      <c r="B79">
        <v>41259.1</v>
      </c>
    </row>
    <row r="80" spans="1:2" x14ac:dyDescent="0.3">
      <c r="A80" s="2">
        <v>10</v>
      </c>
      <c r="B80">
        <v>41421.5</v>
      </c>
    </row>
    <row r="81" spans="1:2" x14ac:dyDescent="0.3">
      <c r="A81" s="2">
        <v>15</v>
      </c>
      <c r="B81">
        <v>41316.1</v>
      </c>
    </row>
    <row r="82" spans="1:2" x14ac:dyDescent="0.3">
      <c r="A82" s="2">
        <v>20</v>
      </c>
      <c r="B82">
        <v>41545.9</v>
      </c>
    </row>
    <row r="83" spans="1:2" x14ac:dyDescent="0.3">
      <c r="A83" s="2" t="s">
        <v>871</v>
      </c>
      <c r="B83">
        <v>41330.9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7AB09-BF14-45A0-B8B0-007C8E43A895}">
  <dimension ref="A1:I83"/>
  <sheetViews>
    <sheetView topLeftCell="A43" workbookViewId="0">
      <selection activeCell="C64" sqref="C64"/>
    </sheetView>
  </sheetViews>
  <sheetFormatPr baseColWidth="10" defaultRowHeight="14.4" x14ac:dyDescent="0.3"/>
  <cols>
    <col min="1" max="1" width="19.5546875" bestFit="1" customWidth="1"/>
    <col min="2" max="2" width="20.21875" bestFit="1" customWidth="1"/>
    <col min="3" max="3" width="17.109375" bestFit="1" customWidth="1"/>
    <col min="4" max="4" width="11.6640625" bestFit="1" customWidth="1"/>
    <col min="5" max="5" width="13.109375" bestFit="1" customWidth="1"/>
    <col min="6" max="6" width="12.21875" bestFit="1" customWidth="1"/>
    <col min="7" max="7" width="18.88671875" bestFit="1" customWidth="1"/>
    <col min="8" max="8" width="60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876</v>
      </c>
    </row>
    <row r="2" spans="1:9" x14ac:dyDescent="0.3">
      <c r="A2" t="s">
        <v>291</v>
      </c>
      <c r="B2">
        <v>1000000</v>
      </c>
      <c r="C2">
        <v>1</v>
      </c>
      <c r="D2">
        <v>970</v>
      </c>
      <c r="E2">
        <v>964</v>
      </c>
      <c r="F2">
        <v>1404</v>
      </c>
      <c r="G2" t="s">
        <v>292</v>
      </c>
      <c r="H2" t="s">
        <v>293</v>
      </c>
      <c r="I2">
        <f t="shared" ref="I2:I33" si="0">IF(ISNUMBER(G2), G2, SUBSTITUTE(G2, ".", ",")*1)</f>
        <v>22.800905466079701</v>
      </c>
    </row>
    <row r="3" spans="1:9" x14ac:dyDescent="0.3">
      <c r="A3" t="s">
        <v>291</v>
      </c>
      <c r="B3">
        <v>1000000</v>
      </c>
      <c r="C3">
        <v>10</v>
      </c>
      <c r="D3">
        <v>970</v>
      </c>
      <c r="E3">
        <v>966</v>
      </c>
      <c r="F3">
        <v>1326</v>
      </c>
      <c r="G3" t="s">
        <v>294</v>
      </c>
      <c r="H3" t="s">
        <v>295</v>
      </c>
      <c r="I3">
        <f t="shared" si="0"/>
        <v>25.936095714568999</v>
      </c>
    </row>
    <row r="4" spans="1:9" x14ac:dyDescent="0.3">
      <c r="A4" t="s">
        <v>291</v>
      </c>
      <c r="B4">
        <v>1000000</v>
      </c>
      <c r="C4">
        <v>15</v>
      </c>
      <c r="D4">
        <v>970</v>
      </c>
      <c r="E4">
        <v>962</v>
      </c>
      <c r="F4">
        <v>1482</v>
      </c>
      <c r="G4" t="s">
        <v>296</v>
      </c>
      <c r="H4" t="s">
        <v>297</v>
      </c>
      <c r="I4">
        <f t="shared" si="0"/>
        <v>30.079064130782999</v>
      </c>
    </row>
    <row r="5" spans="1:9" x14ac:dyDescent="0.3">
      <c r="A5" t="s">
        <v>291</v>
      </c>
      <c r="B5">
        <v>1000000</v>
      </c>
      <c r="C5">
        <v>20</v>
      </c>
      <c r="D5">
        <v>970</v>
      </c>
      <c r="E5">
        <v>964</v>
      </c>
      <c r="F5">
        <v>1404</v>
      </c>
      <c r="G5" t="s">
        <v>298</v>
      </c>
      <c r="H5" t="s">
        <v>299</v>
      </c>
      <c r="I5">
        <f t="shared" si="0"/>
        <v>1.0004043579101001E-3</v>
      </c>
    </row>
    <row r="6" spans="1:9" x14ac:dyDescent="0.3">
      <c r="A6" t="s">
        <v>291</v>
      </c>
      <c r="B6">
        <v>1000000</v>
      </c>
      <c r="C6">
        <v>5</v>
      </c>
      <c r="D6">
        <v>970</v>
      </c>
      <c r="E6">
        <v>964</v>
      </c>
      <c r="F6">
        <v>1404</v>
      </c>
      <c r="G6" t="s">
        <v>15</v>
      </c>
      <c r="H6" t="s">
        <v>300</v>
      </c>
      <c r="I6">
        <f t="shared" si="0"/>
        <v>0</v>
      </c>
    </row>
    <row r="7" spans="1:9" x14ac:dyDescent="0.3">
      <c r="A7" t="s">
        <v>291</v>
      </c>
      <c r="B7">
        <v>100000</v>
      </c>
      <c r="C7">
        <v>1</v>
      </c>
      <c r="D7">
        <v>970</v>
      </c>
      <c r="E7">
        <v>960</v>
      </c>
      <c r="F7">
        <v>1560</v>
      </c>
      <c r="G7" t="s">
        <v>301</v>
      </c>
      <c r="H7" t="s">
        <v>302</v>
      </c>
      <c r="I7">
        <f t="shared" si="0"/>
        <v>2.6472287178039502</v>
      </c>
    </row>
    <row r="8" spans="1:9" x14ac:dyDescent="0.3">
      <c r="A8" t="s">
        <v>291</v>
      </c>
      <c r="B8">
        <v>100000</v>
      </c>
      <c r="C8">
        <v>10</v>
      </c>
      <c r="D8">
        <v>970</v>
      </c>
      <c r="E8">
        <v>969</v>
      </c>
      <c r="F8">
        <v>1989</v>
      </c>
      <c r="G8" t="s">
        <v>303</v>
      </c>
      <c r="H8" t="s">
        <v>304</v>
      </c>
      <c r="I8">
        <f t="shared" si="0"/>
        <v>3.08950638771057</v>
      </c>
    </row>
    <row r="9" spans="1:9" x14ac:dyDescent="0.3">
      <c r="A9" t="s">
        <v>291</v>
      </c>
      <c r="B9">
        <v>100000</v>
      </c>
      <c r="C9">
        <v>15</v>
      </c>
      <c r="D9">
        <v>970</v>
      </c>
      <c r="E9">
        <v>960</v>
      </c>
      <c r="F9">
        <v>1560</v>
      </c>
      <c r="G9" t="s">
        <v>305</v>
      </c>
      <c r="H9" t="s">
        <v>306</v>
      </c>
      <c r="I9">
        <f t="shared" si="0"/>
        <v>3.0781049728393501</v>
      </c>
    </row>
    <row r="10" spans="1:9" x14ac:dyDescent="0.3">
      <c r="A10" t="s">
        <v>291</v>
      </c>
      <c r="B10">
        <v>100000</v>
      </c>
      <c r="C10">
        <v>20</v>
      </c>
      <c r="D10">
        <v>970</v>
      </c>
      <c r="E10">
        <v>960</v>
      </c>
      <c r="F10">
        <v>1560</v>
      </c>
      <c r="G10" t="s">
        <v>307</v>
      </c>
      <c r="H10" t="s">
        <v>308</v>
      </c>
      <c r="I10">
        <f t="shared" si="0"/>
        <v>3.0885465145111</v>
      </c>
    </row>
    <row r="11" spans="1:9" x14ac:dyDescent="0.3">
      <c r="A11" t="s">
        <v>291</v>
      </c>
      <c r="B11">
        <v>100000</v>
      </c>
      <c r="C11">
        <v>5</v>
      </c>
      <c r="D11">
        <v>970</v>
      </c>
      <c r="E11">
        <v>960</v>
      </c>
      <c r="F11">
        <v>1560</v>
      </c>
      <c r="G11" t="s">
        <v>309</v>
      </c>
      <c r="H11" t="s">
        <v>310</v>
      </c>
      <c r="I11">
        <f t="shared" si="0"/>
        <v>2.7825396060943599</v>
      </c>
    </row>
    <row r="12" spans="1:9" x14ac:dyDescent="0.3">
      <c r="A12" t="s">
        <v>291</v>
      </c>
      <c r="B12">
        <v>10000</v>
      </c>
      <c r="C12">
        <v>1</v>
      </c>
      <c r="D12">
        <v>970</v>
      </c>
      <c r="E12">
        <v>968</v>
      </c>
      <c r="F12">
        <v>1248</v>
      </c>
      <c r="G12" t="s">
        <v>311</v>
      </c>
      <c r="H12" t="s">
        <v>312</v>
      </c>
      <c r="I12">
        <f t="shared" si="0"/>
        <v>0.34996509552001898</v>
      </c>
    </row>
    <row r="13" spans="1:9" x14ac:dyDescent="0.3">
      <c r="A13" t="s">
        <v>291</v>
      </c>
      <c r="B13">
        <v>10000</v>
      </c>
      <c r="C13">
        <v>10</v>
      </c>
      <c r="D13">
        <v>970</v>
      </c>
      <c r="E13">
        <v>968</v>
      </c>
      <c r="F13">
        <v>1248</v>
      </c>
      <c r="G13" t="s">
        <v>15</v>
      </c>
      <c r="H13" t="s">
        <v>313</v>
      </c>
      <c r="I13">
        <f t="shared" si="0"/>
        <v>0</v>
      </c>
    </row>
    <row r="14" spans="1:9" x14ac:dyDescent="0.3">
      <c r="A14" t="s">
        <v>291</v>
      </c>
      <c r="B14">
        <v>10000</v>
      </c>
      <c r="C14">
        <v>15</v>
      </c>
      <c r="D14">
        <v>970</v>
      </c>
      <c r="E14">
        <v>969</v>
      </c>
      <c r="F14">
        <v>1989</v>
      </c>
      <c r="G14" t="s">
        <v>314</v>
      </c>
      <c r="H14" t="s">
        <v>315</v>
      </c>
      <c r="I14">
        <f t="shared" si="0"/>
        <v>0.31548142433166498</v>
      </c>
    </row>
    <row r="15" spans="1:9" x14ac:dyDescent="0.3">
      <c r="A15" t="s">
        <v>291</v>
      </c>
      <c r="B15">
        <v>10000</v>
      </c>
      <c r="C15">
        <v>20</v>
      </c>
      <c r="D15">
        <v>970</v>
      </c>
      <c r="E15">
        <v>962</v>
      </c>
      <c r="F15">
        <v>1482</v>
      </c>
      <c r="G15" t="s">
        <v>316</v>
      </c>
      <c r="H15" t="s">
        <v>317</v>
      </c>
      <c r="I15">
        <f t="shared" si="0"/>
        <v>2.0010471343994002E-3</v>
      </c>
    </row>
    <row r="16" spans="1:9" x14ac:dyDescent="0.3">
      <c r="A16" t="s">
        <v>291</v>
      </c>
      <c r="B16">
        <v>10000</v>
      </c>
      <c r="C16">
        <v>5</v>
      </c>
      <c r="D16">
        <v>970</v>
      </c>
      <c r="E16">
        <v>960</v>
      </c>
      <c r="F16">
        <v>1560</v>
      </c>
      <c r="G16" t="s">
        <v>318</v>
      </c>
      <c r="H16" t="s">
        <v>319</v>
      </c>
      <c r="I16">
        <f t="shared" si="0"/>
        <v>0.32825279235839799</v>
      </c>
    </row>
    <row r="17" spans="1:9" x14ac:dyDescent="0.3">
      <c r="A17" t="s">
        <v>291</v>
      </c>
      <c r="B17">
        <v>1000</v>
      </c>
      <c r="C17">
        <v>1</v>
      </c>
      <c r="D17">
        <v>970</v>
      </c>
      <c r="E17">
        <v>970</v>
      </c>
      <c r="F17">
        <v>1170</v>
      </c>
      <c r="G17" t="s">
        <v>15</v>
      </c>
      <c r="H17" t="s">
        <v>320</v>
      </c>
      <c r="I17">
        <f t="shared" si="0"/>
        <v>0</v>
      </c>
    </row>
    <row r="18" spans="1:9" x14ac:dyDescent="0.3">
      <c r="A18" t="s">
        <v>291</v>
      </c>
      <c r="B18">
        <v>1000</v>
      </c>
      <c r="C18">
        <v>10</v>
      </c>
      <c r="D18">
        <v>970</v>
      </c>
      <c r="E18">
        <v>960</v>
      </c>
      <c r="F18">
        <v>1560</v>
      </c>
      <c r="G18" t="s">
        <v>321</v>
      </c>
      <c r="H18" t="s">
        <v>322</v>
      </c>
      <c r="I18">
        <f t="shared" si="0"/>
        <v>2.8728961944579998E-2</v>
      </c>
    </row>
    <row r="19" spans="1:9" x14ac:dyDescent="0.3">
      <c r="A19" t="s">
        <v>291</v>
      </c>
      <c r="B19">
        <v>1000</v>
      </c>
      <c r="C19">
        <v>15</v>
      </c>
      <c r="D19">
        <v>970</v>
      </c>
      <c r="E19">
        <v>969</v>
      </c>
      <c r="F19">
        <v>1989</v>
      </c>
      <c r="G19" t="s">
        <v>323</v>
      </c>
      <c r="H19" t="s">
        <v>324</v>
      </c>
      <c r="I19">
        <f t="shared" si="0"/>
        <v>5.7069301605224602E-2</v>
      </c>
    </row>
    <row r="20" spans="1:9" x14ac:dyDescent="0.3">
      <c r="A20" t="s">
        <v>291</v>
      </c>
      <c r="B20">
        <v>1000</v>
      </c>
      <c r="C20">
        <v>20</v>
      </c>
      <c r="D20">
        <v>970</v>
      </c>
      <c r="E20">
        <v>958</v>
      </c>
      <c r="F20">
        <v>1638</v>
      </c>
      <c r="G20" t="s">
        <v>325</v>
      </c>
      <c r="H20" t="s">
        <v>326</v>
      </c>
      <c r="I20">
        <f t="shared" si="0"/>
        <v>4.5764207839965799E-2</v>
      </c>
    </row>
    <row r="21" spans="1:9" x14ac:dyDescent="0.3">
      <c r="A21" t="s">
        <v>291</v>
      </c>
      <c r="B21">
        <v>1000</v>
      </c>
      <c r="C21">
        <v>5</v>
      </c>
      <c r="D21">
        <v>970</v>
      </c>
      <c r="E21">
        <v>970</v>
      </c>
      <c r="F21">
        <v>1170</v>
      </c>
      <c r="G21" t="s">
        <v>327</v>
      </c>
      <c r="H21" t="s">
        <v>328</v>
      </c>
      <c r="I21">
        <f t="shared" si="0"/>
        <v>1.0325908660888E-3</v>
      </c>
    </row>
    <row r="22" spans="1:9" x14ac:dyDescent="0.3">
      <c r="A22" t="s">
        <v>291</v>
      </c>
      <c r="B22">
        <v>100</v>
      </c>
      <c r="C22">
        <v>1</v>
      </c>
      <c r="D22">
        <v>970</v>
      </c>
      <c r="E22">
        <v>960</v>
      </c>
      <c r="F22">
        <v>1560</v>
      </c>
      <c r="G22" t="s">
        <v>329</v>
      </c>
      <c r="H22" t="s">
        <v>330</v>
      </c>
      <c r="I22">
        <f t="shared" si="0"/>
        <v>3.0322074890135999E-3</v>
      </c>
    </row>
    <row r="23" spans="1:9" x14ac:dyDescent="0.3">
      <c r="A23" t="s">
        <v>291</v>
      </c>
      <c r="B23">
        <v>100</v>
      </c>
      <c r="C23">
        <v>10</v>
      </c>
      <c r="D23">
        <v>970</v>
      </c>
      <c r="E23">
        <v>960</v>
      </c>
      <c r="F23">
        <v>1560</v>
      </c>
      <c r="G23" t="s">
        <v>331</v>
      </c>
      <c r="H23" t="s">
        <v>332</v>
      </c>
      <c r="I23">
        <f t="shared" si="0"/>
        <v>4.1515827178955E-3</v>
      </c>
    </row>
    <row r="24" spans="1:9" x14ac:dyDescent="0.3">
      <c r="A24" t="s">
        <v>291</v>
      </c>
      <c r="B24">
        <v>100</v>
      </c>
      <c r="C24">
        <v>15</v>
      </c>
      <c r="D24">
        <v>970</v>
      </c>
      <c r="E24">
        <v>970</v>
      </c>
      <c r="F24">
        <v>1170</v>
      </c>
      <c r="G24" t="s">
        <v>333</v>
      </c>
      <c r="H24" t="s">
        <v>334</v>
      </c>
      <c r="I24">
        <f t="shared" si="0"/>
        <v>1.0056495666503E-3</v>
      </c>
    </row>
    <row r="25" spans="1:9" x14ac:dyDescent="0.3">
      <c r="A25" t="s">
        <v>291</v>
      </c>
      <c r="B25">
        <v>100</v>
      </c>
      <c r="C25">
        <v>20</v>
      </c>
      <c r="D25">
        <v>970</v>
      </c>
      <c r="E25">
        <v>958</v>
      </c>
      <c r="F25">
        <v>1638</v>
      </c>
      <c r="G25" t="s">
        <v>335</v>
      </c>
      <c r="H25" t="s">
        <v>336</v>
      </c>
      <c r="I25">
        <f t="shared" si="0"/>
        <v>4.1182041168211997E-3</v>
      </c>
    </row>
    <row r="26" spans="1:9" x14ac:dyDescent="0.3">
      <c r="A26" t="s">
        <v>291</v>
      </c>
      <c r="B26">
        <v>100</v>
      </c>
      <c r="C26">
        <v>5</v>
      </c>
      <c r="D26">
        <v>970</v>
      </c>
      <c r="E26">
        <v>960</v>
      </c>
      <c r="F26">
        <v>1560</v>
      </c>
      <c r="G26" t="s">
        <v>337</v>
      </c>
      <c r="H26" t="s">
        <v>338</v>
      </c>
      <c r="I26">
        <f t="shared" si="0"/>
        <v>4.0347576141356997E-3</v>
      </c>
    </row>
    <row r="27" spans="1:9" x14ac:dyDescent="0.3">
      <c r="A27" t="s">
        <v>291</v>
      </c>
      <c r="B27">
        <v>10</v>
      </c>
      <c r="C27">
        <v>1</v>
      </c>
      <c r="D27">
        <v>970</v>
      </c>
      <c r="E27">
        <v>964</v>
      </c>
      <c r="F27">
        <v>1404</v>
      </c>
      <c r="G27" t="s">
        <v>339</v>
      </c>
      <c r="H27" t="s">
        <v>340</v>
      </c>
      <c r="I27">
        <f t="shared" si="0"/>
        <v>1.000165939331E-3</v>
      </c>
    </row>
    <row r="28" spans="1:9" x14ac:dyDescent="0.3">
      <c r="A28" t="s">
        <v>291</v>
      </c>
      <c r="B28">
        <v>10</v>
      </c>
      <c r="C28">
        <v>10</v>
      </c>
      <c r="D28">
        <v>970</v>
      </c>
      <c r="E28">
        <v>966</v>
      </c>
      <c r="F28">
        <v>1326</v>
      </c>
      <c r="G28" t="s">
        <v>341</v>
      </c>
      <c r="H28" t="s">
        <v>342</v>
      </c>
      <c r="I28">
        <f t="shared" si="0"/>
        <v>1.0309219360351001E-3</v>
      </c>
    </row>
    <row r="29" spans="1:9" x14ac:dyDescent="0.3">
      <c r="A29" t="s">
        <v>291</v>
      </c>
      <c r="B29">
        <v>10</v>
      </c>
      <c r="C29">
        <v>15</v>
      </c>
      <c r="D29">
        <v>970</v>
      </c>
      <c r="E29">
        <v>966</v>
      </c>
      <c r="F29">
        <v>1326</v>
      </c>
      <c r="G29" t="s">
        <v>343</v>
      </c>
      <c r="H29" t="s">
        <v>344</v>
      </c>
      <c r="I29">
        <f t="shared" si="0"/>
        <v>9.6154212951660004E-4</v>
      </c>
    </row>
    <row r="30" spans="1:9" x14ac:dyDescent="0.3">
      <c r="A30" t="s">
        <v>291</v>
      </c>
      <c r="B30">
        <v>10</v>
      </c>
      <c r="C30">
        <v>20</v>
      </c>
      <c r="D30">
        <v>970</v>
      </c>
      <c r="E30">
        <v>954</v>
      </c>
      <c r="F30">
        <v>1794</v>
      </c>
      <c r="G30" t="s">
        <v>345</v>
      </c>
      <c r="H30" t="s">
        <v>346</v>
      </c>
      <c r="I30">
        <f t="shared" si="0"/>
        <v>9.946823120117001E-4</v>
      </c>
    </row>
    <row r="31" spans="1:9" x14ac:dyDescent="0.3">
      <c r="A31" t="s">
        <v>291</v>
      </c>
      <c r="B31">
        <v>10</v>
      </c>
      <c r="C31">
        <v>5</v>
      </c>
      <c r="D31">
        <v>970</v>
      </c>
      <c r="E31">
        <v>960</v>
      </c>
      <c r="F31">
        <v>1560</v>
      </c>
      <c r="G31" t="s">
        <v>75</v>
      </c>
      <c r="H31" t="s">
        <v>347</v>
      </c>
      <c r="I31">
        <f t="shared" si="0"/>
        <v>1.0011196136474E-3</v>
      </c>
    </row>
    <row r="32" spans="1:9" x14ac:dyDescent="0.3">
      <c r="A32" t="s">
        <v>291</v>
      </c>
      <c r="B32">
        <v>500000</v>
      </c>
      <c r="C32">
        <v>1</v>
      </c>
      <c r="D32">
        <v>970</v>
      </c>
      <c r="E32">
        <v>968</v>
      </c>
      <c r="F32">
        <v>1248</v>
      </c>
      <c r="G32" t="s">
        <v>348</v>
      </c>
      <c r="H32" t="s">
        <v>349</v>
      </c>
      <c r="I32">
        <f t="shared" si="0"/>
        <v>13.0744609832763</v>
      </c>
    </row>
    <row r="33" spans="1:9" x14ac:dyDescent="0.3">
      <c r="A33" t="s">
        <v>291</v>
      </c>
      <c r="B33">
        <v>500000</v>
      </c>
      <c r="C33">
        <v>10</v>
      </c>
      <c r="D33">
        <v>970</v>
      </c>
      <c r="E33">
        <v>969</v>
      </c>
      <c r="F33">
        <v>1989</v>
      </c>
      <c r="G33" t="s">
        <v>350</v>
      </c>
      <c r="H33" t="s">
        <v>351</v>
      </c>
      <c r="I33">
        <f t="shared" si="0"/>
        <v>15.117922782897899</v>
      </c>
    </row>
    <row r="34" spans="1:9" x14ac:dyDescent="0.3">
      <c r="A34" t="s">
        <v>291</v>
      </c>
      <c r="B34">
        <v>500000</v>
      </c>
      <c r="C34">
        <v>15</v>
      </c>
      <c r="D34">
        <v>970</v>
      </c>
      <c r="E34">
        <v>969</v>
      </c>
      <c r="F34">
        <v>1989</v>
      </c>
      <c r="G34" t="s">
        <v>352</v>
      </c>
      <c r="H34" t="s">
        <v>353</v>
      </c>
      <c r="I34">
        <f t="shared" ref="I34:I51" si="1">IF(ISNUMBER(G34), G34, SUBSTITUTE(G34, ".", ",")*1)</f>
        <v>17.077971935272199</v>
      </c>
    </row>
    <row r="35" spans="1:9" x14ac:dyDescent="0.3">
      <c r="A35" t="s">
        <v>291</v>
      </c>
      <c r="B35">
        <v>500000</v>
      </c>
      <c r="C35">
        <v>20</v>
      </c>
      <c r="D35">
        <v>970</v>
      </c>
      <c r="E35">
        <v>969</v>
      </c>
      <c r="F35">
        <v>1989</v>
      </c>
      <c r="G35" t="s">
        <v>354</v>
      </c>
      <c r="H35" t="s">
        <v>355</v>
      </c>
      <c r="I35">
        <f t="shared" si="1"/>
        <v>15.9464769363403</v>
      </c>
    </row>
    <row r="36" spans="1:9" x14ac:dyDescent="0.3">
      <c r="A36" t="s">
        <v>291</v>
      </c>
      <c r="B36">
        <v>500000</v>
      </c>
      <c r="C36">
        <v>5</v>
      </c>
      <c r="D36">
        <v>970</v>
      </c>
      <c r="E36">
        <v>962</v>
      </c>
      <c r="F36">
        <v>1482</v>
      </c>
      <c r="G36" t="s">
        <v>356</v>
      </c>
      <c r="H36" t="s">
        <v>357</v>
      </c>
      <c r="I36">
        <f t="shared" si="1"/>
        <v>15.803659200668299</v>
      </c>
    </row>
    <row r="37" spans="1:9" x14ac:dyDescent="0.3">
      <c r="A37" t="s">
        <v>291</v>
      </c>
      <c r="B37">
        <v>50000</v>
      </c>
      <c r="C37">
        <v>1</v>
      </c>
      <c r="D37">
        <v>970</v>
      </c>
      <c r="E37">
        <v>962</v>
      </c>
      <c r="F37">
        <v>1482</v>
      </c>
      <c r="G37" t="s">
        <v>358</v>
      </c>
      <c r="H37" t="s">
        <v>359</v>
      </c>
      <c r="I37">
        <f t="shared" si="1"/>
        <v>1.35918712615966</v>
      </c>
    </row>
    <row r="38" spans="1:9" x14ac:dyDescent="0.3">
      <c r="A38" t="s">
        <v>291</v>
      </c>
      <c r="B38">
        <v>50000</v>
      </c>
      <c r="C38">
        <v>10</v>
      </c>
      <c r="D38">
        <v>970</v>
      </c>
      <c r="E38">
        <v>966</v>
      </c>
      <c r="F38">
        <v>1326</v>
      </c>
      <c r="G38" t="s">
        <v>360</v>
      </c>
      <c r="H38" t="s">
        <v>361</v>
      </c>
      <c r="I38">
        <f t="shared" si="1"/>
        <v>9.6893310546870002E-4</v>
      </c>
    </row>
    <row r="39" spans="1:9" x14ac:dyDescent="0.3">
      <c r="A39" t="s">
        <v>291</v>
      </c>
      <c r="B39">
        <v>50000</v>
      </c>
      <c r="C39">
        <v>15</v>
      </c>
      <c r="D39">
        <v>970</v>
      </c>
      <c r="E39">
        <v>970</v>
      </c>
      <c r="F39">
        <v>1170</v>
      </c>
      <c r="G39" t="s">
        <v>15</v>
      </c>
      <c r="H39" t="s">
        <v>362</v>
      </c>
      <c r="I39">
        <f t="shared" si="1"/>
        <v>0</v>
      </c>
    </row>
    <row r="40" spans="1:9" x14ac:dyDescent="0.3">
      <c r="A40" t="s">
        <v>291</v>
      </c>
      <c r="B40">
        <v>50000</v>
      </c>
      <c r="C40">
        <v>20</v>
      </c>
      <c r="D40">
        <v>970</v>
      </c>
      <c r="E40">
        <v>966</v>
      </c>
      <c r="F40">
        <v>1326</v>
      </c>
      <c r="G40" t="s">
        <v>363</v>
      </c>
      <c r="H40" t="s">
        <v>364</v>
      </c>
      <c r="I40">
        <f t="shared" si="1"/>
        <v>9.9968910217279995E-4</v>
      </c>
    </row>
    <row r="41" spans="1:9" x14ac:dyDescent="0.3">
      <c r="A41" t="s">
        <v>291</v>
      </c>
      <c r="B41">
        <v>50000</v>
      </c>
      <c r="C41">
        <v>5</v>
      </c>
      <c r="D41">
        <v>970</v>
      </c>
      <c r="E41">
        <v>960</v>
      </c>
      <c r="F41">
        <v>1560</v>
      </c>
      <c r="G41" t="s">
        <v>365</v>
      </c>
      <c r="H41" t="s">
        <v>366</v>
      </c>
      <c r="I41">
        <f t="shared" si="1"/>
        <v>1.8036041259765601</v>
      </c>
    </row>
    <row r="42" spans="1:9" x14ac:dyDescent="0.3">
      <c r="A42" t="s">
        <v>291</v>
      </c>
      <c r="B42">
        <v>5000</v>
      </c>
      <c r="C42">
        <v>1</v>
      </c>
      <c r="D42">
        <v>970</v>
      </c>
      <c r="E42">
        <v>966</v>
      </c>
      <c r="F42">
        <v>1326</v>
      </c>
      <c r="G42" t="s">
        <v>367</v>
      </c>
      <c r="H42" t="s">
        <v>368</v>
      </c>
      <c r="I42">
        <f t="shared" si="1"/>
        <v>0.39274144172668402</v>
      </c>
    </row>
    <row r="43" spans="1:9" x14ac:dyDescent="0.3">
      <c r="A43" t="s">
        <v>291</v>
      </c>
      <c r="B43">
        <v>5000</v>
      </c>
      <c r="C43">
        <v>10</v>
      </c>
      <c r="D43">
        <v>970</v>
      </c>
      <c r="E43">
        <v>960</v>
      </c>
      <c r="F43">
        <v>1560</v>
      </c>
      <c r="G43" t="s">
        <v>369</v>
      </c>
      <c r="H43" t="s">
        <v>370</v>
      </c>
      <c r="I43">
        <f t="shared" si="1"/>
        <v>0.17884445190429599</v>
      </c>
    </row>
    <row r="44" spans="1:9" x14ac:dyDescent="0.3">
      <c r="A44" t="s">
        <v>291</v>
      </c>
      <c r="B44">
        <v>5000</v>
      </c>
      <c r="C44">
        <v>15</v>
      </c>
      <c r="D44">
        <v>970</v>
      </c>
      <c r="E44">
        <v>964</v>
      </c>
      <c r="F44">
        <v>1404</v>
      </c>
      <c r="G44" t="s">
        <v>371</v>
      </c>
      <c r="H44" t="s">
        <v>372</v>
      </c>
      <c r="I44">
        <f t="shared" si="1"/>
        <v>0.15934777259826599</v>
      </c>
    </row>
    <row r="45" spans="1:9" x14ac:dyDescent="0.3">
      <c r="A45" t="s">
        <v>291</v>
      </c>
      <c r="B45">
        <v>5000</v>
      </c>
      <c r="C45">
        <v>20</v>
      </c>
      <c r="D45">
        <v>970</v>
      </c>
      <c r="E45">
        <v>964</v>
      </c>
      <c r="F45">
        <v>1404</v>
      </c>
      <c r="G45" t="s">
        <v>373</v>
      </c>
      <c r="H45" t="s">
        <v>374</v>
      </c>
      <c r="I45">
        <f t="shared" si="1"/>
        <v>9.6702575683589999E-4</v>
      </c>
    </row>
    <row r="46" spans="1:9" x14ac:dyDescent="0.3">
      <c r="A46" t="s">
        <v>291</v>
      </c>
      <c r="B46">
        <v>5000</v>
      </c>
      <c r="C46">
        <v>5</v>
      </c>
      <c r="D46">
        <v>970</v>
      </c>
      <c r="E46">
        <v>968</v>
      </c>
      <c r="F46">
        <v>1248</v>
      </c>
      <c r="G46" t="s">
        <v>15</v>
      </c>
      <c r="H46" t="s">
        <v>375</v>
      </c>
      <c r="I46">
        <f t="shared" si="1"/>
        <v>0</v>
      </c>
    </row>
    <row r="47" spans="1:9" x14ac:dyDescent="0.3">
      <c r="A47" t="s">
        <v>291</v>
      </c>
      <c r="B47">
        <v>500</v>
      </c>
      <c r="C47">
        <v>1</v>
      </c>
      <c r="D47">
        <v>970</v>
      </c>
      <c r="E47">
        <v>970</v>
      </c>
      <c r="F47">
        <v>1170</v>
      </c>
      <c r="G47" t="s">
        <v>376</v>
      </c>
      <c r="H47" t="s">
        <v>377</v>
      </c>
      <c r="I47">
        <f t="shared" si="1"/>
        <v>9.9802017211910008E-4</v>
      </c>
    </row>
    <row r="48" spans="1:9" x14ac:dyDescent="0.3">
      <c r="A48" t="s">
        <v>291</v>
      </c>
      <c r="B48">
        <v>500</v>
      </c>
      <c r="C48">
        <v>10</v>
      </c>
      <c r="D48">
        <v>970</v>
      </c>
      <c r="E48">
        <v>966</v>
      </c>
      <c r="F48">
        <v>1326</v>
      </c>
      <c r="G48" t="s">
        <v>59</v>
      </c>
      <c r="H48" t="s">
        <v>378</v>
      </c>
      <c r="I48">
        <f t="shared" si="1"/>
        <v>9.9635124206539998E-4</v>
      </c>
    </row>
    <row r="49" spans="1:9" x14ac:dyDescent="0.3">
      <c r="A49" t="s">
        <v>291</v>
      </c>
      <c r="B49">
        <v>500</v>
      </c>
      <c r="C49">
        <v>15</v>
      </c>
      <c r="D49">
        <v>970</v>
      </c>
      <c r="E49">
        <v>956</v>
      </c>
      <c r="F49">
        <v>1716</v>
      </c>
      <c r="G49" t="s">
        <v>379</v>
      </c>
      <c r="H49" t="s">
        <v>380</v>
      </c>
      <c r="I49">
        <f t="shared" si="1"/>
        <v>1.61869525909423E-2</v>
      </c>
    </row>
    <row r="50" spans="1:9" x14ac:dyDescent="0.3">
      <c r="A50" t="s">
        <v>291</v>
      </c>
      <c r="B50">
        <v>500</v>
      </c>
      <c r="C50">
        <v>20</v>
      </c>
      <c r="D50">
        <v>970</v>
      </c>
      <c r="E50">
        <v>970</v>
      </c>
      <c r="F50">
        <v>1170</v>
      </c>
      <c r="G50" t="s">
        <v>15</v>
      </c>
      <c r="H50" t="s">
        <v>381</v>
      </c>
      <c r="I50">
        <f t="shared" si="1"/>
        <v>0</v>
      </c>
    </row>
    <row r="51" spans="1:9" x14ac:dyDescent="0.3">
      <c r="A51" t="s">
        <v>291</v>
      </c>
      <c r="B51">
        <v>500</v>
      </c>
      <c r="C51">
        <v>5</v>
      </c>
      <c r="D51">
        <v>970</v>
      </c>
      <c r="E51">
        <v>970</v>
      </c>
      <c r="F51">
        <v>1170</v>
      </c>
      <c r="G51" t="s">
        <v>15</v>
      </c>
      <c r="H51" t="s">
        <v>382</v>
      </c>
      <c r="I51">
        <f t="shared" si="1"/>
        <v>0</v>
      </c>
    </row>
    <row r="57" spans="1:9" x14ac:dyDescent="0.3">
      <c r="A57" t="s">
        <v>875</v>
      </c>
      <c r="B57">
        <f>AVERAGE(results_3_fusionné[tps_nb])</f>
        <v>3.5117590379714887</v>
      </c>
    </row>
    <row r="58" spans="1:9" x14ac:dyDescent="0.3">
      <c r="A58" t="s">
        <v>874</v>
      </c>
      <c r="B58">
        <f>MAX(results_3_fusionné[Total profit])</f>
        <v>1989</v>
      </c>
    </row>
    <row r="60" spans="1:9" x14ac:dyDescent="0.3">
      <c r="A60" s="1" t="s">
        <v>870</v>
      </c>
      <c r="B60" t="s">
        <v>873</v>
      </c>
    </row>
    <row r="61" spans="1:9" x14ac:dyDescent="0.3">
      <c r="A61" s="2">
        <v>10</v>
      </c>
      <c r="B61">
        <v>1482</v>
      </c>
    </row>
    <row r="62" spans="1:9" x14ac:dyDescent="0.3">
      <c r="A62" s="2">
        <v>100</v>
      </c>
      <c r="B62">
        <v>1497.6</v>
      </c>
    </row>
    <row r="63" spans="1:9" x14ac:dyDescent="0.3">
      <c r="A63" s="2">
        <v>500</v>
      </c>
      <c r="B63">
        <v>1310.4000000000001</v>
      </c>
    </row>
    <row r="64" spans="1:9" x14ac:dyDescent="0.3">
      <c r="A64" s="2">
        <v>1000</v>
      </c>
      <c r="B64">
        <v>1505.4</v>
      </c>
    </row>
    <row r="65" spans="1:2" x14ac:dyDescent="0.3">
      <c r="A65" s="2">
        <v>5000</v>
      </c>
      <c r="B65">
        <v>1388.4</v>
      </c>
    </row>
    <row r="66" spans="1:2" x14ac:dyDescent="0.3">
      <c r="A66" s="2">
        <v>10000</v>
      </c>
      <c r="B66">
        <v>1505.4</v>
      </c>
    </row>
    <row r="67" spans="1:2" x14ac:dyDescent="0.3">
      <c r="A67" s="2">
        <v>50000</v>
      </c>
      <c r="B67">
        <v>1372.8</v>
      </c>
    </row>
    <row r="68" spans="1:2" x14ac:dyDescent="0.3">
      <c r="A68" s="2">
        <v>100000</v>
      </c>
      <c r="B68">
        <v>1645.8</v>
      </c>
    </row>
    <row r="69" spans="1:2" x14ac:dyDescent="0.3">
      <c r="A69" s="2">
        <v>500000</v>
      </c>
      <c r="B69">
        <v>1739.4</v>
      </c>
    </row>
    <row r="70" spans="1:2" x14ac:dyDescent="0.3">
      <c r="A70" s="2">
        <v>1000000</v>
      </c>
      <c r="B70">
        <v>1404</v>
      </c>
    </row>
    <row r="71" spans="1:2" x14ac:dyDescent="0.3">
      <c r="A71" s="2" t="s">
        <v>871</v>
      </c>
      <c r="B71">
        <v>1485.12</v>
      </c>
    </row>
    <row r="77" spans="1:2" x14ac:dyDescent="0.3">
      <c r="A77" s="1" t="s">
        <v>870</v>
      </c>
      <c r="B77" t="s">
        <v>873</v>
      </c>
    </row>
    <row r="78" spans="1:2" x14ac:dyDescent="0.3">
      <c r="A78" s="2">
        <v>1</v>
      </c>
      <c r="B78">
        <v>1357.2</v>
      </c>
    </row>
    <row r="79" spans="1:2" x14ac:dyDescent="0.3">
      <c r="A79" s="2">
        <v>5</v>
      </c>
      <c r="B79">
        <v>1427.4</v>
      </c>
    </row>
    <row r="80" spans="1:2" x14ac:dyDescent="0.3">
      <c r="A80" s="2">
        <v>10</v>
      </c>
      <c r="B80">
        <v>1521</v>
      </c>
    </row>
    <row r="81" spans="1:2" x14ac:dyDescent="0.3">
      <c r="A81" s="2">
        <v>15</v>
      </c>
      <c r="B81">
        <v>1579.5</v>
      </c>
    </row>
    <row r="82" spans="1:2" x14ac:dyDescent="0.3">
      <c r="A82" s="2">
        <v>20</v>
      </c>
      <c r="B82">
        <v>1540.5</v>
      </c>
    </row>
    <row r="83" spans="1:2" x14ac:dyDescent="0.3">
      <c r="A83" s="2" t="s">
        <v>871</v>
      </c>
      <c r="B83">
        <v>1485.12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17D7-4EB1-4849-8DAB-DFE9EF76AC31}">
  <dimension ref="A1:I83"/>
  <sheetViews>
    <sheetView topLeftCell="A70" workbookViewId="0">
      <selection activeCell="C56" sqref="C56"/>
    </sheetView>
  </sheetViews>
  <sheetFormatPr baseColWidth="10" defaultRowHeight="14.4" x14ac:dyDescent="0.3"/>
  <cols>
    <col min="1" max="1" width="19.5546875" bestFit="1" customWidth="1"/>
    <col min="2" max="3" width="19.33203125" bestFit="1" customWidth="1"/>
    <col min="4" max="4" width="11.6640625" bestFit="1" customWidth="1"/>
    <col min="5" max="5" width="13.109375" bestFit="1" customWidth="1"/>
    <col min="6" max="6" width="12.21875" bestFit="1" customWidth="1"/>
    <col min="7" max="7" width="18.88671875" bestFit="1" customWidth="1"/>
    <col min="8" max="8" width="61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876</v>
      </c>
    </row>
    <row r="2" spans="1:9" x14ac:dyDescent="0.3">
      <c r="A2" t="s">
        <v>383</v>
      </c>
      <c r="B2">
        <v>1000000</v>
      </c>
      <c r="C2">
        <v>1</v>
      </c>
      <c r="D2">
        <v>3177</v>
      </c>
      <c r="E2">
        <v>3166</v>
      </c>
      <c r="F2">
        <v>4446</v>
      </c>
      <c r="G2" t="s">
        <v>384</v>
      </c>
      <c r="H2" t="s">
        <v>385</v>
      </c>
      <c r="I2">
        <f t="shared" ref="I2:I33" si="0">IF(ISNUMBER(G2), G2, SUBSTITUTE(G2, ".", ",")*1)</f>
        <v>237.00111389160099</v>
      </c>
    </row>
    <row r="3" spans="1:9" x14ac:dyDescent="0.3">
      <c r="A3" t="s">
        <v>383</v>
      </c>
      <c r="B3">
        <v>1000000</v>
      </c>
      <c r="C3">
        <v>10</v>
      </c>
      <c r="D3">
        <v>3177</v>
      </c>
      <c r="E3">
        <v>3168</v>
      </c>
      <c r="F3">
        <v>4368</v>
      </c>
      <c r="G3" t="s">
        <v>386</v>
      </c>
      <c r="H3" t="s">
        <v>387</v>
      </c>
      <c r="I3">
        <f t="shared" si="0"/>
        <v>231.37696743011401</v>
      </c>
    </row>
    <row r="4" spans="1:9" x14ac:dyDescent="0.3">
      <c r="A4" t="s">
        <v>383</v>
      </c>
      <c r="B4">
        <v>1000000</v>
      </c>
      <c r="C4">
        <v>15</v>
      </c>
      <c r="D4">
        <v>3177</v>
      </c>
      <c r="E4">
        <v>3170</v>
      </c>
      <c r="F4">
        <v>4290</v>
      </c>
      <c r="G4" t="s">
        <v>388</v>
      </c>
      <c r="H4" t="s">
        <v>389</v>
      </c>
      <c r="I4">
        <f t="shared" si="0"/>
        <v>211.67198777198701</v>
      </c>
    </row>
    <row r="5" spans="1:9" x14ac:dyDescent="0.3">
      <c r="A5" t="s">
        <v>383</v>
      </c>
      <c r="B5">
        <v>1000000</v>
      </c>
      <c r="C5">
        <v>20</v>
      </c>
      <c r="D5">
        <v>3177</v>
      </c>
      <c r="E5">
        <v>3175</v>
      </c>
      <c r="F5">
        <v>4875</v>
      </c>
      <c r="G5" t="s">
        <v>390</v>
      </c>
      <c r="H5" t="s">
        <v>391</v>
      </c>
      <c r="I5">
        <f t="shared" si="0"/>
        <v>283.46908354759199</v>
      </c>
    </row>
    <row r="6" spans="1:9" x14ac:dyDescent="0.3">
      <c r="A6" t="s">
        <v>383</v>
      </c>
      <c r="B6">
        <v>1000000</v>
      </c>
      <c r="C6">
        <v>5</v>
      </c>
      <c r="D6">
        <v>3177</v>
      </c>
      <c r="E6">
        <v>3170</v>
      </c>
      <c r="F6">
        <v>4290</v>
      </c>
      <c r="G6" t="s">
        <v>392</v>
      </c>
      <c r="H6" t="s">
        <v>393</v>
      </c>
      <c r="I6">
        <f t="shared" si="0"/>
        <v>189.431992053985</v>
      </c>
    </row>
    <row r="7" spans="1:9" x14ac:dyDescent="0.3">
      <c r="A7" t="s">
        <v>383</v>
      </c>
      <c r="B7">
        <v>100000</v>
      </c>
      <c r="C7">
        <v>1</v>
      </c>
      <c r="D7">
        <v>3177</v>
      </c>
      <c r="E7">
        <v>3166</v>
      </c>
      <c r="F7">
        <v>4446</v>
      </c>
      <c r="G7" t="s">
        <v>394</v>
      </c>
      <c r="H7" t="s">
        <v>395</v>
      </c>
      <c r="I7">
        <f t="shared" si="0"/>
        <v>20.8068604469299</v>
      </c>
    </row>
    <row r="8" spans="1:9" x14ac:dyDescent="0.3">
      <c r="A8" t="s">
        <v>383</v>
      </c>
      <c r="B8">
        <v>100000</v>
      </c>
      <c r="C8">
        <v>10</v>
      </c>
      <c r="D8">
        <v>3177</v>
      </c>
      <c r="E8">
        <v>3166</v>
      </c>
      <c r="F8">
        <v>4446</v>
      </c>
      <c r="G8" t="s">
        <v>396</v>
      </c>
      <c r="H8" t="s">
        <v>397</v>
      </c>
      <c r="I8">
        <f t="shared" si="0"/>
        <v>22.515874624252302</v>
      </c>
    </row>
    <row r="9" spans="1:9" x14ac:dyDescent="0.3">
      <c r="A9" t="s">
        <v>383</v>
      </c>
      <c r="B9">
        <v>100000</v>
      </c>
      <c r="C9">
        <v>15</v>
      </c>
      <c r="D9">
        <v>3177</v>
      </c>
      <c r="E9">
        <v>3166</v>
      </c>
      <c r="F9">
        <v>4446</v>
      </c>
      <c r="G9" t="s">
        <v>398</v>
      </c>
      <c r="H9" t="s">
        <v>399</v>
      </c>
      <c r="I9">
        <f t="shared" si="0"/>
        <v>22.835777759551998</v>
      </c>
    </row>
    <row r="10" spans="1:9" x14ac:dyDescent="0.3">
      <c r="A10" t="s">
        <v>383</v>
      </c>
      <c r="B10">
        <v>100000</v>
      </c>
      <c r="C10">
        <v>20</v>
      </c>
      <c r="D10">
        <v>3177</v>
      </c>
      <c r="E10">
        <v>3162</v>
      </c>
      <c r="F10">
        <v>4602</v>
      </c>
      <c r="G10" t="s">
        <v>400</v>
      </c>
      <c r="H10" t="s">
        <v>401</v>
      </c>
      <c r="I10">
        <f t="shared" si="0"/>
        <v>23.4188647270202</v>
      </c>
    </row>
    <row r="11" spans="1:9" x14ac:dyDescent="0.3">
      <c r="A11" t="s">
        <v>383</v>
      </c>
      <c r="B11">
        <v>100000</v>
      </c>
      <c r="C11">
        <v>5</v>
      </c>
      <c r="D11">
        <v>3177</v>
      </c>
      <c r="E11">
        <v>3168</v>
      </c>
      <c r="F11">
        <v>4368</v>
      </c>
      <c r="G11" t="s">
        <v>402</v>
      </c>
      <c r="H11" t="s">
        <v>403</v>
      </c>
      <c r="I11">
        <f t="shared" si="0"/>
        <v>21.332754373550401</v>
      </c>
    </row>
    <row r="12" spans="1:9" x14ac:dyDescent="0.3">
      <c r="A12" t="s">
        <v>383</v>
      </c>
      <c r="B12">
        <v>10000</v>
      </c>
      <c r="C12">
        <v>1</v>
      </c>
      <c r="D12">
        <v>3177</v>
      </c>
      <c r="E12">
        <v>3172</v>
      </c>
      <c r="F12">
        <v>4212</v>
      </c>
      <c r="G12" t="s">
        <v>404</v>
      </c>
      <c r="H12" t="s">
        <v>405</v>
      </c>
      <c r="I12">
        <f t="shared" si="0"/>
        <v>1.9247899055480899</v>
      </c>
    </row>
    <row r="13" spans="1:9" x14ac:dyDescent="0.3">
      <c r="A13" t="s">
        <v>383</v>
      </c>
      <c r="B13">
        <v>10000</v>
      </c>
      <c r="C13">
        <v>10</v>
      </c>
      <c r="D13">
        <v>3177</v>
      </c>
      <c r="E13">
        <v>3177</v>
      </c>
      <c r="F13">
        <v>4797</v>
      </c>
      <c r="G13" t="s">
        <v>406</v>
      </c>
      <c r="H13" t="s">
        <v>407</v>
      </c>
      <c r="I13">
        <f t="shared" si="0"/>
        <v>2.2939875125885001</v>
      </c>
    </row>
    <row r="14" spans="1:9" x14ac:dyDescent="0.3">
      <c r="A14" t="s">
        <v>383</v>
      </c>
      <c r="B14">
        <v>10000</v>
      </c>
      <c r="C14">
        <v>15</v>
      </c>
      <c r="D14">
        <v>3177</v>
      </c>
      <c r="E14">
        <v>3172</v>
      </c>
      <c r="F14">
        <v>4212</v>
      </c>
      <c r="G14" t="s">
        <v>408</v>
      </c>
      <c r="H14" t="s">
        <v>409</v>
      </c>
      <c r="I14">
        <f t="shared" si="0"/>
        <v>2.7772676944732599</v>
      </c>
    </row>
    <row r="15" spans="1:9" x14ac:dyDescent="0.3">
      <c r="A15" t="s">
        <v>383</v>
      </c>
      <c r="B15">
        <v>10000</v>
      </c>
      <c r="C15">
        <v>20</v>
      </c>
      <c r="D15">
        <v>3177</v>
      </c>
      <c r="E15">
        <v>3160</v>
      </c>
      <c r="F15">
        <v>4680</v>
      </c>
      <c r="G15" t="s">
        <v>410</v>
      </c>
      <c r="H15" t="s">
        <v>411</v>
      </c>
      <c r="I15">
        <f t="shared" si="0"/>
        <v>2.3116588592529199</v>
      </c>
    </row>
    <row r="16" spans="1:9" x14ac:dyDescent="0.3">
      <c r="A16" t="s">
        <v>383</v>
      </c>
      <c r="B16">
        <v>10000</v>
      </c>
      <c r="C16">
        <v>5</v>
      </c>
      <c r="D16">
        <v>3177</v>
      </c>
      <c r="E16">
        <v>3170</v>
      </c>
      <c r="F16">
        <v>4290</v>
      </c>
      <c r="G16" t="s">
        <v>412</v>
      </c>
      <c r="H16" t="s">
        <v>413</v>
      </c>
      <c r="I16">
        <f t="shared" si="0"/>
        <v>1.9894597530364899</v>
      </c>
    </row>
    <row r="17" spans="1:9" x14ac:dyDescent="0.3">
      <c r="A17" t="s">
        <v>383</v>
      </c>
      <c r="B17">
        <v>1000</v>
      </c>
      <c r="C17">
        <v>1</v>
      </c>
      <c r="D17">
        <v>3177</v>
      </c>
      <c r="E17">
        <v>3174</v>
      </c>
      <c r="F17">
        <v>4134</v>
      </c>
      <c r="G17" t="s">
        <v>414</v>
      </c>
      <c r="H17" t="s">
        <v>415</v>
      </c>
      <c r="I17">
        <f t="shared" si="0"/>
        <v>0.235371589660644</v>
      </c>
    </row>
    <row r="18" spans="1:9" x14ac:dyDescent="0.3">
      <c r="A18" t="s">
        <v>383</v>
      </c>
      <c r="B18">
        <v>1000</v>
      </c>
      <c r="C18">
        <v>10</v>
      </c>
      <c r="D18">
        <v>3177</v>
      </c>
      <c r="E18">
        <v>3162</v>
      </c>
      <c r="F18">
        <v>4602</v>
      </c>
      <c r="G18" t="s">
        <v>416</v>
      </c>
      <c r="H18" t="s">
        <v>417</v>
      </c>
      <c r="I18">
        <f t="shared" si="0"/>
        <v>0.256115913391113</v>
      </c>
    </row>
    <row r="19" spans="1:9" x14ac:dyDescent="0.3">
      <c r="A19" t="s">
        <v>383</v>
      </c>
      <c r="B19">
        <v>1000</v>
      </c>
      <c r="C19">
        <v>15</v>
      </c>
      <c r="D19">
        <v>3177</v>
      </c>
      <c r="E19">
        <v>3175</v>
      </c>
      <c r="F19">
        <v>4875</v>
      </c>
      <c r="G19" t="s">
        <v>418</v>
      </c>
      <c r="H19" t="s">
        <v>419</v>
      </c>
      <c r="I19">
        <f t="shared" si="0"/>
        <v>0.22466158866882299</v>
      </c>
    </row>
    <row r="20" spans="1:9" x14ac:dyDescent="0.3">
      <c r="A20" t="s">
        <v>383</v>
      </c>
      <c r="B20">
        <v>1000</v>
      </c>
      <c r="C20">
        <v>20</v>
      </c>
      <c r="D20">
        <v>3177</v>
      </c>
      <c r="E20">
        <v>3164</v>
      </c>
      <c r="F20">
        <v>4524</v>
      </c>
      <c r="G20" t="s">
        <v>420</v>
      </c>
      <c r="H20" t="s">
        <v>421</v>
      </c>
      <c r="I20">
        <f t="shared" si="0"/>
        <v>0.27733087539672802</v>
      </c>
    </row>
    <row r="21" spans="1:9" x14ac:dyDescent="0.3">
      <c r="A21" t="s">
        <v>383</v>
      </c>
      <c r="B21">
        <v>1000</v>
      </c>
      <c r="C21">
        <v>5</v>
      </c>
      <c r="D21">
        <v>3177</v>
      </c>
      <c r="E21">
        <v>3168</v>
      </c>
      <c r="F21">
        <v>4368</v>
      </c>
      <c r="G21" t="s">
        <v>422</v>
      </c>
      <c r="H21" t="s">
        <v>423</v>
      </c>
      <c r="I21">
        <f t="shared" si="0"/>
        <v>0.219290256500244</v>
      </c>
    </row>
    <row r="22" spans="1:9" x14ac:dyDescent="0.3">
      <c r="A22" t="s">
        <v>383</v>
      </c>
      <c r="B22">
        <v>100</v>
      </c>
      <c r="C22">
        <v>1</v>
      </c>
      <c r="D22">
        <v>3177</v>
      </c>
      <c r="E22">
        <v>3164</v>
      </c>
      <c r="F22">
        <v>4524</v>
      </c>
      <c r="G22" t="s">
        <v>424</v>
      </c>
      <c r="H22" t="s">
        <v>425</v>
      </c>
      <c r="I22">
        <f t="shared" si="0"/>
        <v>2.76436805725097E-2</v>
      </c>
    </row>
    <row r="23" spans="1:9" x14ac:dyDescent="0.3">
      <c r="A23" t="s">
        <v>383</v>
      </c>
      <c r="B23">
        <v>100</v>
      </c>
      <c r="C23">
        <v>10</v>
      </c>
      <c r="D23">
        <v>3177</v>
      </c>
      <c r="E23">
        <v>3164</v>
      </c>
      <c r="F23">
        <v>4524</v>
      </c>
      <c r="G23" t="s">
        <v>426</v>
      </c>
      <c r="H23" t="s">
        <v>427</v>
      </c>
      <c r="I23">
        <f t="shared" si="0"/>
        <v>2.70376205444335E-2</v>
      </c>
    </row>
    <row r="24" spans="1:9" x14ac:dyDescent="0.3">
      <c r="A24" t="s">
        <v>383</v>
      </c>
      <c r="B24">
        <v>100</v>
      </c>
      <c r="C24">
        <v>15</v>
      </c>
      <c r="D24">
        <v>3177</v>
      </c>
      <c r="E24">
        <v>3164</v>
      </c>
      <c r="F24">
        <v>4524</v>
      </c>
      <c r="G24" t="s">
        <v>428</v>
      </c>
      <c r="H24" t="s">
        <v>429</v>
      </c>
      <c r="I24">
        <f t="shared" si="0"/>
        <v>2.4323463439941399E-2</v>
      </c>
    </row>
    <row r="25" spans="1:9" x14ac:dyDescent="0.3">
      <c r="A25" t="s">
        <v>383</v>
      </c>
      <c r="B25">
        <v>100</v>
      </c>
      <c r="C25">
        <v>20</v>
      </c>
      <c r="D25">
        <v>3177</v>
      </c>
      <c r="E25">
        <v>3173</v>
      </c>
      <c r="F25">
        <v>4953</v>
      </c>
      <c r="G25" t="s">
        <v>430</v>
      </c>
      <c r="H25" t="s">
        <v>431</v>
      </c>
      <c r="I25">
        <f t="shared" si="0"/>
        <v>2.6127576828002898E-2</v>
      </c>
    </row>
    <row r="26" spans="1:9" x14ac:dyDescent="0.3">
      <c r="A26" t="s">
        <v>383</v>
      </c>
      <c r="B26">
        <v>100</v>
      </c>
      <c r="C26">
        <v>5</v>
      </c>
      <c r="D26">
        <v>3177</v>
      </c>
      <c r="E26">
        <v>3172</v>
      </c>
      <c r="F26">
        <v>4212</v>
      </c>
      <c r="G26" t="s">
        <v>432</v>
      </c>
      <c r="H26" t="s">
        <v>433</v>
      </c>
      <c r="I26">
        <f t="shared" si="0"/>
        <v>2.4223327636718701E-2</v>
      </c>
    </row>
    <row r="27" spans="1:9" x14ac:dyDescent="0.3">
      <c r="A27" t="s">
        <v>383</v>
      </c>
      <c r="B27">
        <v>10</v>
      </c>
      <c r="C27">
        <v>1</v>
      </c>
      <c r="D27">
        <v>3177</v>
      </c>
      <c r="E27">
        <v>3162</v>
      </c>
      <c r="F27">
        <v>4602</v>
      </c>
      <c r="G27" t="s">
        <v>434</v>
      </c>
      <c r="H27" t="s">
        <v>435</v>
      </c>
      <c r="I27">
        <f t="shared" si="0"/>
        <v>2.1090507507324002E-3</v>
      </c>
    </row>
    <row r="28" spans="1:9" x14ac:dyDescent="0.3">
      <c r="A28" t="s">
        <v>383</v>
      </c>
      <c r="B28">
        <v>10</v>
      </c>
      <c r="C28">
        <v>10</v>
      </c>
      <c r="D28">
        <v>3177</v>
      </c>
      <c r="E28">
        <v>3177</v>
      </c>
      <c r="F28">
        <v>4797</v>
      </c>
      <c r="G28" t="s">
        <v>436</v>
      </c>
      <c r="H28" t="s">
        <v>437</v>
      </c>
      <c r="I28">
        <f t="shared" si="0"/>
        <v>3.0367374420165998E-3</v>
      </c>
    </row>
    <row r="29" spans="1:9" x14ac:dyDescent="0.3">
      <c r="A29" t="s">
        <v>383</v>
      </c>
      <c r="B29">
        <v>10</v>
      </c>
      <c r="C29">
        <v>15</v>
      </c>
      <c r="D29">
        <v>3177</v>
      </c>
      <c r="E29">
        <v>3174</v>
      </c>
      <c r="F29">
        <v>4134</v>
      </c>
      <c r="G29" t="s">
        <v>438</v>
      </c>
      <c r="H29" t="s">
        <v>439</v>
      </c>
      <c r="I29">
        <f t="shared" si="0"/>
        <v>3.0345916748045999E-3</v>
      </c>
    </row>
    <row r="30" spans="1:9" x14ac:dyDescent="0.3">
      <c r="A30" t="s">
        <v>383</v>
      </c>
      <c r="B30">
        <v>10</v>
      </c>
      <c r="C30">
        <v>20</v>
      </c>
      <c r="D30">
        <v>3177</v>
      </c>
      <c r="E30">
        <v>3172</v>
      </c>
      <c r="F30">
        <v>4212</v>
      </c>
      <c r="G30" t="s">
        <v>440</v>
      </c>
      <c r="H30" t="s">
        <v>441</v>
      </c>
      <c r="I30">
        <f t="shared" si="0"/>
        <v>4.1670799255370998E-3</v>
      </c>
    </row>
    <row r="31" spans="1:9" x14ac:dyDescent="0.3">
      <c r="A31" t="s">
        <v>383</v>
      </c>
      <c r="B31">
        <v>10</v>
      </c>
      <c r="C31">
        <v>5</v>
      </c>
      <c r="D31">
        <v>3177</v>
      </c>
      <c r="E31">
        <v>3170</v>
      </c>
      <c r="F31">
        <v>4290</v>
      </c>
      <c r="G31" t="s">
        <v>442</v>
      </c>
      <c r="H31" t="s">
        <v>443</v>
      </c>
      <c r="I31">
        <f t="shared" si="0"/>
        <v>2.030611038208E-3</v>
      </c>
    </row>
    <row r="32" spans="1:9" x14ac:dyDescent="0.3">
      <c r="A32" t="s">
        <v>383</v>
      </c>
      <c r="B32">
        <v>500000</v>
      </c>
      <c r="C32">
        <v>1</v>
      </c>
      <c r="D32">
        <v>3177</v>
      </c>
      <c r="E32">
        <v>3168</v>
      </c>
      <c r="F32">
        <v>4368</v>
      </c>
      <c r="G32" t="s">
        <v>444</v>
      </c>
      <c r="H32" t="s">
        <v>445</v>
      </c>
      <c r="I32">
        <f t="shared" si="0"/>
        <v>91.965731143951402</v>
      </c>
    </row>
    <row r="33" spans="1:9" x14ac:dyDescent="0.3">
      <c r="A33" t="s">
        <v>383</v>
      </c>
      <c r="B33">
        <v>500000</v>
      </c>
      <c r="C33">
        <v>10</v>
      </c>
      <c r="D33">
        <v>3177</v>
      </c>
      <c r="E33">
        <v>3177</v>
      </c>
      <c r="F33">
        <v>4797</v>
      </c>
      <c r="G33" t="s">
        <v>446</v>
      </c>
      <c r="H33" t="s">
        <v>447</v>
      </c>
      <c r="I33">
        <f t="shared" si="0"/>
        <v>116.958102941513</v>
      </c>
    </row>
    <row r="34" spans="1:9" x14ac:dyDescent="0.3">
      <c r="A34" t="s">
        <v>383</v>
      </c>
      <c r="B34">
        <v>500000</v>
      </c>
      <c r="C34">
        <v>15</v>
      </c>
      <c r="D34">
        <v>3177</v>
      </c>
      <c r="E34">
        <v>3170</v>
      </c>
      <c r="F34">
        <v>4290</v>
      </c>
      <c r="G34" t="s">
        <v>448</v>
      </c>
      <c r="H34" t="s">
        <v>449</v>
      </c>
      <c r="I34">
        <f t="shared" ref="I34:I51" si="1">IF(ISNUMBER(G34), G34, SUBSTITUTE(G34, ".", ",")*1)</f>
        <v>153.25165724754299</v>
      </c>
    </row>
    <row r="35" spans="1:9" x14ac:dyDescent="0.3">
      <c r="A35" t="s">
        <v>383</v>
      </c>
      <c r="B35">
        <v>500000</v>
      </c>
      <c r="C35">
        <v>20</v>
      </c>
      <c r="D35">
        <v>3177</v>
      </c>
      <c r="E35">
        <v>3162</v>
      </c>
      <c r="F35">
        <v>4602</v>
      </c>
      <c r="G35" t="s">
        <v>450</v>
      </c>
      <c r="H35" t="s">
        <v>451</v>
      </c>
      <c r="I35">
        <f t="shared" si="1"/>
        <v>122.164529323577</v>
      </c>
    </row>
    <row r="36" spans="1:9" x14ac:dyDescent="0.3">
      <c r="A36" t="s">
        <v>383</v>
      </c>
      <c r="B36">
        <v>500000</v>
      </c>
      <c r="C36">
        <v>5</v>
      </c>
      <c r="D36">
        <v>3177</v>
      </c>
      <c r="E36">
        <v>3162</v>
      </c>
      <c r="F36">
        <v>4602</v>
      </c>
      <c r="G36" t="s">
        <v>452</v>
      </c>
      <c r="H36" t="s">
        <v>453</v>
      </c>
      <c r="I36">
        <f t="shared" si="1"/>
        <v>105.521276473999</v>
      </c>
    </row>
    <row r="37" spans="1:9" x14ac:dyDescent="0.3">
      <c r="A37" t="s">
        <v>383</v>
      </c>
      <c r="B37">
        <v>50000</v>
      </c>
      <c r="C37">
        <v>1</v>
      </c>
      <c r="D37">
        <v>3177</v>
      </c>
      <c r="E37">
        <v>3172</v>
      </c>
      <c r="F37">
        <v>4212</v>
      </c>
      <c r="G37" t="s">
        <v>454</v>
      </c>
      <c r="H37" t="s">
        <v>455</v>
      </c>
      <c r="I37">
        <f t="shared" si="1"/>
        <v>10.728434085845899</v>
      </c>
    </row>
    <row r="38" spans="1:9" x14ac:dyDescent="0.3">
      <c r="A38" t="s">
        <v>383</v>
      </c>
      <c r="B38">
        <v>50000</v>
      </c>
      <c r="C38">
        <v>10</v>
      </c>
      <c r="D38">
        <v>3177</v>
      </c>
      <c r="E38">
        <v>3164</v>
      </c>
      <c r="F38">
        <v>4524</v>
      </c>
      <c r="G38" t="s">
        <v>456</v>
      </c>
      <c r="H38" t="s">
        <v>457</v>
      </c>
      <c r="I38">
        <f t="shared" si="1"/>
        <v>19.266067028045601</v>
      </c>
    </row>
    <row r="39" spans="1:9" x14ac:dyDescent="0.3">
      <c r="A39" t="s">
        <v>383</v>
      </c>
      <c r="B39">
        <v>50000</v>
      </c>
      <c r="C39">
        <v>15</v>
      </c>
      <c r="D39">
        <v>3177</v>
      </c>
      <c r="E39">
        <v>3168</v>
      </c>
      <c r="F39">
        <v>4368</v>
      </c>
      <c r="G39" t="s">
        <v>458</v>
      </c>
      <c r="H39" t="s">
        <v>459</v>
      </c>
      <c r="I39">
        <f t="shared" si="1"/>
        <v>13.2095499038696</v>
      </c>
    </row>
    <row r="40" spans="1:9" x14ac:dyDescent="0.3">
      <c r="A40" t="s">
        <v>383</v>
      </c>
      <c r="B40">
        <v>50000</v>
      </c>
      <c r="C40">
        <v>20</v>
      </c>
      <c r="D40">
        <v>3177</v>
      </c>
      <c r="E40">
        <v>3160</v>
      </c>
      <c r="F40">
        <v>4680</v>
      </c>
      <c r="G40" t="s">
        <v>460</v>
      </c>
      <c r="H40" t="s">
        <v>461</v>
      </c>
      <c r="I40">
        <f t="shared" si="1"/>
        <v>12.703364610671899</v>
      </c>
    </row>
    <row r="41" spans="1:9" x14ac:dyDescent="0.3">
      <c r="A41" t="s">
        <v>383</v>
      </c>
      <c r="B41">
        <v>50000</v>
      </c>
      <c r="C41">
        <v>5</v>
      </c>
      <c r="D41">
        <v>3177</v>
      </c>
      <c r="E41">
        <v>3168</v>
      </c>
      <c r="F41">
        <v>4368</v>
      </c>
      <c r="G41" t="s">
        <v>462</v>
      </c>
      <c r="H41" t="s">
        <v>463</v>
      </c>
      <c r="I41">
        <f t="shared" si="1"/>
        <v>11.2122702598571</v>
      </c>
    </row>
    <row r="42" spans="1:9" x14ac:dyDescent="0.3">
      <c r="A42" t="s">
        <v>383</v>
      </c>
      <c r="B42">
        <v>5000</v>
      </c>
      <c r="C42">
        <v>1</v>
      </c>
      <c r="D42">
        <v>3177</v>
      </c>
      <c r="E42">
        <v>3176</v>
      </c>
      <c r="F42">
        <v>4056</v>
      </c>
      <c r="G42" t="s">
        <v>464</v>
      </c>
      <c r="H42" t="s">
        <v>465</v>
      </c>
      <c r="I42">
        <f t="shared" si="1"/>
        <v>0.84918260574340798</v>
      </c>
    </row>
    <row r="43" spans="1:9" x14ac:dyDescent="0.3">
      <c r="A43" t="s">
        <v>383</v>
      </c>
      <c r="B43">
        <v>5000</v>
      </c>
      <c r="C43">
        <v>10</v>
      </c>
      <c r="D43">
        <v>3177</v>
      </c>
      <c r="E43">
        <v>3162</v>
      </c>
      <c r="F43">
        <v>4602</v>
      </c>
      <c r="G43" t="s">
        <v>466</v>
      </c>
      <c r="H43" t="s">
        <v>467</v>
      </c>
      <c r="I43">
        <f t="shared" si="1"/>
        <v>1.1443176269531199</v>
      </c>
    </row>
    <row r="44" spans="1:9" x14ac:dyDescent="0.3">
      <c r="A44" t="s">
        <v>383</v>
      </c>
      <c r="B44">
        <v>5000</v>
      </c>
      <c r="C44">
        <v>15</v>
      </c>
      <c r="D44">
        <v>3177</v>
      </c>
      <c r="E44">
        <v>3160</v>
      </c>
      <c r="F44">
        <v>4680</v>
      </c>
      <c r="G44" t="s">
        <v>468</v>
      </c>
      <c r="H44" t="s">
        <v>469</v>
      </c>
      <c r="I44">
        <f t="shared" si="1"/>
        <v>1.1634976863861</v>
      </c>
    </row>
    <row r="45" spans="1:9" x14ac:dyDescent="0.3">
      <c r="A45" t="s">
        <v>383</v>
      </c>
      <c r="B45">
        <v>5000</v>
      </c>
      <c r="C45">
        <v>20</v>
      </c>
      <c r="D45">
        <v>3177</v>
      </c>
      <c r="E45">
        <v>3167</v>
      </c>
      <c r="F45">
        <v>5187</v>
      </c>
      <c r="G45" t="s">
        <v>470</v>
      </c>
      <c r="H45" t="s">
        <v>471</v>
      </c>
      <c r="I45">
        <f t="shared" si="1"/>
        <v>1.4852991104125901</v>
      </c>
    </row>
    <row r="46" spans="1:9" x14ac:dyDescent="0.3">
      <c r="A46" t="s">
        <v>383</v>
      </c>
      <c r="B46">
        <v>5000</v>
      </c>
      <c r="C46">
        <v>5</v>
      </c>
      <c r="D46">
        <v>3177</v>
      </c>
      <c r="E46">
        <v>3175</v>
      </c>
      <c r="F46">
        <v>4875</v>
      </c>
      <c r="G46" t="s">
        <v>472</v>
      </c>
      <c r="H46" t="s">
        <v>473</v>
      </c>
      <c r="I46">
        <f t="shared" si="1"/>
        <v>1.5464735031127901</v>
      </c>
    </row>
    <row r="47" spans="1:9" x14ac:dyDescent="0.3">
      <c r="A47" t="s">
        <v>383</v>
      </c>
      <c r="B47">
        <v>500</v>
      </c>
      <c r="C47">
        <v>1</v>
      </c>
      <c r="D47">
        <v>3177</v>
      </c>
      <c r="E47">
        <v>3164</v>
      </c>
      <c r="F47">
        <v>4524</v>
      </c>
      <c r="G47" t="s">
        <v>474</v>
      </c>
      <c r="H47" t="s">
        <v>475</v>
      </c>
      <c r="I47">
        <f t="shared" si="1"/>
        <v>0.104760646820068</v>
      </c>
    </row>
    <row r="48" spans="1:9" x14ac:dyDescent="0.3">
      <c r="A48" t="s">
        <v>383</v>
      </c>
      <c r="B48">
        <v>500</v>
      </c>
      <c r="C48">
        <v>10</v>
      </c>
      <c r="D48">
        <v>3177</v>
      </c>
      <c r="E48">
        <v>3166</v>
      </c>
      <c r="F48">
        <v>4446</v>
      </c>
      <c r="G48" t="s">
        <v>476</v>
      </c>
      <c r="H48" t="s">
        <v>477</v>
      </c>
      <c r="I48">
        <f t="shared" si="1"/>
        <v>0.10452008247375399</v>
      </c>
    </row>
    <row r="49" spans="1:9" x14ac:dyDescent="0.3">
      <c r="A49" t="s">
        <v>383</v>
      </c>
      <c r="B49">
        <v>500</v>
      </c>
      <c r="C49">
        <v>15</v>
      </c>
      <c r="D49">
        <v>3177</v>
      </c>
      <c r="E49">
        <v>3164</v>
      </c>
      <c r="F49">
        <v>4524</v>
      </c>
      <c r="G49" t="s">
        <v>478</v>
      </c>
      <c r="H49" t="s">
        <v>479</v>
      </c>
      <c r="I49">
        <f t="shared" si="1"/>
        <v>0.14190244674682601</v>
      </c>
    </row>
    <row r="50" spans="1:9" x14ac:dyDescent="0.3">
      <c r="A50" t="s">
        <v>383</v>
      </c>
      <c r="B50">
        <v>500</v>
      </c>
      <c r="C50">
        <v>20</v>
      </c>
      <c r="D50">
        <v>3177</v>
      </c>
      <c r="E50">
        <v>3166</v>
      </c>
      <c r="F50">
        <v>4446</v>
      </c>
      <c r="G50" t="s">
        <v>480</v>
      </c>
      <c r="H50" t="s">
        <v>481</v>
      </c>
      <c r="I50">
        <f t="shared" si="1"/>
        <v>0.11883807182312001</v>
      </c>
    </row>
    <row r="51" spans="1:9" x14ac:dyDescent="0.3">
      <c r="A51" t="s">
        <v>383</v>
      </c>
      <c r="B51">
        <v>500</v>
      </c>
      <c r="C51">
        <v>5</v>
      </c>
      <c r="D51">
        <v>3177</v>
      </c>
      <c r="E51">
        <v>3172</v>
      </c>
      <c r="F51">
        <v>4212</v>
      </c>
      <c r="G51" t="s">
        <v>482</v>
      </c>
      <c r="H51" t="s">
        <v>483</v>
      </c>
      <c r="I51">
        <f t="shared" si="1"/>
        <v>9.6853971481323201E-2</v>
      </c>
    </row>
    <row r="57" spans="1:9" x14ac:dyDescent="0.3">
      <c r="A57" t="s">
        <v>875</v>
      </c>
      <c r="B57">
        <f>AVERAGE(results_4_fusionné[tps_nb])</f>
        <v>38.805031461715608</v>
      </c>
    </row>
    <row r="58" spans="1:9" x14ac:dyDescent="0.3">
      <c r="A58" t="s">
        <v>874</v>
      </c>
      <c r="B58">
        <f>MAX(results_4_fusionné[Total profit])</f>
        <v>5187</v>
      </c>
    </row>
    <row r="60" spans="1:9" x14ac:dyDescent="0.3">
      <c r="A60" s="1" t="s">
        <v>870</v>
      </c>
      <c r="B60" t="s">
        <v>873</v>
      </c>
    </row>
    <row r="61" spans="1:9" x14ac:dyDescent="0.3">
      <c r="A61" s="2">
        <v>10</v>
      </c>
      <c r="B61">
        <v>4407</v>
      </c>
    </row>
    <row r="62" spans="1:9" x14ac:dyDescent="0.3">
      <c r="A62" s="2">
        <v>100</v>
      </c>
      <c r="B62">
        <v>4547.3999999999996</v>
      </c>
    </row>
    <row r="63" spans="1:9" x14ac:dyDescent="0.3">
      <c r="A63" s="2">
        <v>500</v>
      </c>
      <c r="B63">
        <v>4430.3999999999996</v>
      </c>
    </row>
    <row r="64" spans="1:9" x14ac:dyDescent="0.3">
      <c r="A64" s="2">
        <v>1000</v>
      </c>
      <c r="B64">
        <v>4500.6000000000004</v>
      </c>
    </row>
    <row r="65" spans="1:2" x14ac:dyDescent="0.3">
      <c r="A65" s="2">
        <v>5000</v>
      </c>
      <c r="B65">
        <v>4680</v>
      </c>
    </row>
    <row r="66" spans="1:2" x14ac:dyDescent="0.3">
      <c r="A66" s="2">
        <v>10000</v>
      </c>
      <c r="B66">
        <v>4438.2</v>
      </c>
    </row>
    <row r="67" spans="1:2" x14ac:dyDescent="0.3">
      <c r="A67" s="2">
        <v>50000</v>
      </c>
      <c r="B67">
        <v>4430.3999999999996</v>
      </c>
    </row>
    <row r="68" spans="1:2" x14ac:dyDescent="0.3">
      <c r="A68" s="2">
        <v>100000</v>
      </c>
      <c r="B68">
        <v>4461.6000000000004</v>
      </c>
    </row>
    <row r="69" spans="1:2" x14ac:dyDescent="0.3">
      <c r="A69" s="2">
        <v>500000</v>
      </c>
      <c r="B69">
        <v>4531.8</v>
      </c>
    </row>
    <row r="70" spans="1:2" x14ac:dyDescent="0.3">
      <c r="A70" s="2">
        <v>1000000</v>
      </c>
      <c r="B70">
        <v>4453.8</v>
      </c>
    </row>
    <row r="71" spans="1:2" x14ac:dyDescent="0.3">
      <c r="A71" s="2" t="s">
        <v>871</v>
      </c>
      <c r="B71">
        <v>4488.12</v>
      </c>
    </row>
    <row r="77" spans="1:2" x14ac:dyDescent="0.3">
      <c r="A77" s="1" t="s">
        <v>870</v>
      </c>
      <c r="B77" t="s">
        <v>872</v>
      </c>
    </row>
    <row r="78" spans="1:2" x14ac:dyDescent="0.3">
      <c r="A78" s="2">
        <v>1</v>
      </c>
      <c r="B78">
        <v>43524</v>
      </c>
    </row>
    <row r="79" spans="1:2" x14ac:dyDescent="0.3">
      <c r="A79" s="2">
        <v>5</v>
      </c>
      <c r="B79">
        <v>43875</v>
      </c>
    </row>
    <row r="80" spans="1:2" x14ac:dyDescent="0.3">
      <c r="A80" s="2">
        <v>10</v>
      </c>
      <c r="B80">
        <v>45903</v>
      </c>
    </row>
    <row r="81" spans="1:2" x14ac:dyDescent="0.3">
      <c r="A81" s="2">
        <v>15</v>
      </c>
      <c r="B81">
        <v>44343</v>
      </c>
    </row>
    <row r="82" spans="1:2" x14ac:dyDescent="0.3">
      <c r="A82" s="2">
        <v>20</v>
      </c>
      <c r="B82">
        <v>46761</v>
      </c>
    </row>
    <row r="83" spans="1:2" x14ac:dyDescent="0.3">
      <c r="A83" s="2" t="s">
        <v>871</v>
      </c>
      <c r="B83">
        <v>224406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4FAD0-1853-404A-8615-9623E7AAEE55}">
  <dimension ref="A1:I83"/>
  <sheetViews>
    <sheetView topLeftCell="A46" zoomScaleNormal="100" workbookViewId="0">
      <selection activeCell="C63" sqref="C63"/>
    </sheetView>
  </sheetViews>
  <sheetFormatPr baseColWidth="10" defaultRowHeight="14.4" x14ac:dyDescent="0.3"/>
  <cols>
    <col min="1" max="1" width="19.5546875" bestFit="1" customWidth="1"/>
    <col min="2" max="2" width="20.21875" bestFit="1" customWidth="1"/>
    <col min="3" max="3" width="17.109375" bestFit="1" customWidth="1"/>
    <col min="4" max="4" width="11.6640625" bestFit="1" customWidth="1"/>
    <col min="5" max="5" width="13.109375" bestFit="1" customWidth="1"/>
    <col min="6" max="6" width="12.21875" bestFit="1" customWidth="1"/>
    <col min="7" max="7" width="18.88671875" bestFit="1" customWidth="1"/>
    <col min="8" max="8" width="62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876</v>
      </c>
    </row>
    <row r="2" spans="1:9" x14ac:dyDescent="0.3">
      <c r="A2" t="s">
        <v>484</v>
      </c>
      <c r="B2">
        <v>1000000</v>
      </c>
      <c r="C2">
        <v>1</v>
      </c>
      <c r="D2">
        <v>31234</v>
      </c>
      <c r="E2">
        <v>31219</v>
      </c>
      <c r="F2">
        <v>43719</v>
      </c>
      <c r="G2" t="s">
        <v>485</v>
      </c>
      <c r="H2" t="s">
        <v>486</v>
      </c>
      <c r="I2">
        <f t="shared" ref="I2:I33" si="0">IF(ISNUMBER(G2), G2, SUBSTITUTE(G2, ".", ",")*1)</f>
        <v>6068.2303416728901</v>
      </c>
    </row>
    <row r="3" spans="1:9" x14ac:dyDescent="0.3">
      <c r="A3" t="s">
        <v>484</v>
      </c>
      <c r="B3">
        <v>1000000</v>
      </c>
      <c r="C3">
        <v>10</v>
      </c>
      <c r="D3">
        <v>31234</v>
      </c>
      <c r="E3">
        <v>31227</v>
      </c>
      <c r="F3">
        <v>41847</v>
      </c>
      <c r="G3" t="s">
        <v>487</v>
      </c>
      <c r="H3" t="s">
        <v>488</v>
      </c>
      <c r="I3">
        <f t="shared" si="0"/>
        <v>5034.5282514095297</v>
      </c>
    </row>
    <row r="4" spans="1:9" x14ac:dyDescent="0.3">
      <c r="A4" t="s">
        <v>484</v>
      </c>
      <c r="B4">
        <v>1000000</v>
      </c>
      <c r="C4">
        <v>15</v>
      </c>
      <c r="D4">
        <v>31234</v>
      </c>
      <c r="E4">
        <v>31230</v>
      </c>
      <c r="F4">
        <v>40950</v>
      </c>
      <c r="G4" t="s">
        <v>489</v>
      </c>
      <c r="H4" t="s">
        <v>490</v>
      </c>
      <c r="I4">
        <f t="shared" si="0"/>
        <v>4742.2460737228303</v>
      </c>
    </row>
    <row r="5" spans="1:9" x14ac:dyDescent="0.3">
      <c r="A5" t="s">
        <v>484</v>
      </c>
      <c r="B5">
        <v>1000000</v>
      </c>
      <c r="C5">
        <v>20</v>
      </c>
      <c r="D5">
        <v>31234</v>
      </c>
      <c r="E5">
        <v>31220</v>
      </c>
      <c r="F5">
        <v>42900</v>
      </c>
      <c r="G5" t="s">
        <v>491</v>
      </c>
      <c r="H5" t="s">
        <v>492</v>
      </c>
      <c r="I5">
        <f t="shared" si="0"/>
        <v>7868.8282425403504</v>
      </c>
    </row>
    <row r="6" spans="1:9" x14ac:dyDescent="0.3">
      <c r="A6" t="s">
        <v>484</v>
      </c>
      <c r="B6">
        <v>1000000</v>
      </c>
      <c r="C6">
        <v>5</v>
      </c>
      <c r="D6">
        <v>31234</v>
      </c>
      <c r="E6">
        <v>31231</v>
      </c>
      <c r="F6">
        <v>41691</v>
      </c>
      <c r="G6" t="s">
        <v>493</v>
      </c>
      <c r="H6" t="s">
        <v>494</v>
      </c>
      <c r="I6">
        <f t="shared" si="0"/>
        <v>5014.4396269321396</v>
      </c>
    </row>
    <row r="7" spans="1:9" x14ac:dyDescent="0.3">
      <c r="A7" t="s">
        <v>484</v>
      </c>
      <c r="B7">
        <v>100000</v>
      </c>
      <c r="C7">
        <v>1</v>
      </c>
      <c r="D7">
        <v>31234</v>
      </c>
      <c r="E7">
        <v>31234</v>
      </c>
      <c r="F7">
        <v>42354</v>
      </c>
      <c r="G7" t="s">
        <v>495</v>
      </c>
      <c r="H7" t="s">
        <v>496</v>
      </c>
      <c r="I7">
        <f t="shared" si="0"/>
        <v>557.75384879112198</v>
      </c>
    </row>
    <row r="8" spans="1:9" x14ac:dyDescent="0.3">
      <c r="A8" t="s">
        <v>484</v>
      </c>
      <c r="B8">
        <v>100000</v>
      </c>
      <c r="C8">
        <v>10</v>
      </c>
      <c r="D8">
        <v>31234</v>
      </c>
      <c r="E8">
        <v>31228</v>
      </c>
      <c r="F8">
        <v>42588</v>
      </c>
      <c r="G8" t="s">
        <v>497</v>
      </c>
      <c r="H8" t="s">
        <v>498</v>
      </c>
      <c r="I8">
        <f t="shared" si="0"/>
        <v>583.13145375251702</v>
      </c>
    </row>
    <row r="9" spans="1:9" x14ac:dyDescent="0.3">
      <c r="A9" t="s">
        <v>484</v>
      </c>
      <c r="B9">
        <v>100000</v>
      </c>
      <c r="C9">
        <v>15</v>
      </c>
      <c r="D9">
        <v>31234</v>
      </c>
      <c r="E9">
        <v>31231</v>
      </c>
      <c r="F9">
        <v>41691</v>
      </c>
      <c r="G9" t="s">
        <v>499</v>
      </c>
      <c r="H9" t="s">
        <v>500</v>
      </c>
      <c r="I9">
        <f t="shared" si="0"/>
        <v>558.32892680168095</v>
      </c>
    </row>
    <row r="10" spans="1:9" x14ac:dyDescent="0.3">
      <c r="A10" t="s">
        <v>484</v>
      </c>
      <c r="B10">
        <v>100000</v>
      </c>
      <c r="C10">
        <v>20</v>
      </c>
      <c r="D10">
        <v>31234</v>
      </c>
      <c r="E10">
        <v>31230</v>
      </c>
      <c r="F10">
        <v>42510</v>
      </c>
      <c r="G10" t="s">
        <v>501</v>
      </c>
      <c r="H10" t="s">
        <v>502</v>
      </c>
      <c r="I10">
        <f t="shared" si="0"/>
        <v>578.76870369911103</v>
      </c>
    </row>
    <row r="11" spans="1:9" x14ac:dyDescent="0.3">
      <c r="A11" t="s">
        <v>484</v>
      </c>
      <c r="B11">
        <v>100000</v>
      </c>
      <c r="C11">
        <v>5</v>
      </c>
      <c r="D11">
        <v>31234</v>
      </c>
      <c r="E11">
        <v>31228</v>
      </c>
      <c r="F11">
        <v>42588</v>
      </c>
      <c r="G11" t="s">
        <v>503</v>
      </c>
      <c r="H11" t="s">
        <v>504</v>
      </c>
      <c r="I11">
        <f t="shared" si="0"/>
        <v>532.36756062507595</v>
      </c>
    </row>
    <row r="12" spans="1:9" x14ac:dyDescent="0.3">
      <c r="A12" t="s">
        <v>484</v>
      </c>
      <c r="B12">
        <v>10000</v>
      </c>
      <c r="C12">
        <v>1</v>
      </c>
      <c r="D12">
        <v>31234</v>
      </c>
      <c r="E12">
        <v>31223</v>
      </c>
      <c r="F12">
        <v>42003</v>
      </c>
      <c r="G12" t="s">
        <v>505</v>
      </c>
      <c r="H12" t="s">
        <v>506</v>
      </c>
      <c r="I12">
        <f t="shared" si="0"/>
        <v>52.2291676998138</v>
      </c>
    </row>
    <row r="13" spans="1:9" x14ac:dyDescent="0.3">
      <c r="A13" t="s">
        <v>484</v>
      </c>
      <c r="B13">
        <v>10000</v>
      </c>
      <c r="C13">
        <v>10</v>
      </c>
      <c r="D13">
        <v>31234</v>
      </c>
      <c r="E13">
        <v>31221</v>
      </c>
      <c r="F13">
        <v>42081</v>
      </c>
      <c r="G13" t="s">
        <v>507</v>
      </c>
      <c r="H13" t="s">
        <v>508</v>
      </c>
      <c r="I13">
        <f t="shared" si="0"/>
        <v>54.344081878662102</v>
      </c>
    </row>
    <row r="14" spans="1:9" x14ac:dyDescent="0.3">
      <c r="A14" t="s">
        <v>484</v>
      </c>
      <c r="B14">
        <v>10000</v>
      </c>
      <c r="C14">
        <v>15</v>
      </c>
      <c r="D14">
        <v>31234</v>
      </c>
      <c r="E14">
        <v>31222</v>
      </c>
      <c r="F14">
        <v>42822</v>
      </c>
      <c r="G14" t="s">
        <v>509</v>
      </c>
      <c r="H14" t="s">
        <v>510</v>
      </c>
      <c r="I14">
        <f t="shared" si="0"/>
        <v>53.764495134353602</v>
      </c>
    </row>
    <row r="15" spans="1:9" x14ac:dyDescent="0.3">
      <c r="A15" t="s">
        <v>484</v>
      </c>
      <c r="B15">
        <v>10000</v>
      </c>
      <c r="C15">
        <v>20</v>
      </c>
      <c r="D15">
        <v>31234</v>
      </c>
      <c r="E15">
        <v>31229</v>
      </c>
      <c r="F15">
        <v>41769</v>
      </c>
      <c r="G15" t="s">
        <v>511</v>
      </c>
      <c r="H15" t="s">
        <v>512</v>
      </c>
      <c r="I15">
        <f t="shared" si="0"/>
        <v>53.4491832256317</v>
      </c>
    </row>
    <row r="16" spans="1:9" x14ac:dyDescent="0.3">
      <c r="A16" t="s">
        <v>484</v>
      </c>
      <c r="B16">
        <v>10000</v>
      </c>
      <c r="C16">
        <v>5</v>
      </c>
      <c r="D16">
        <v>31234</v>
      </c>
      <c r="E16">
        <v>31234</v>
      </c>
      <c r="F16">
        <v>42354</v>
      </c>
      <c r="G16" t="s">
        <v>513</v>
      </c>
      <c r="H16" t="s">
        <v>514</v>
      </c>
      <c r="I16">
        <f t="shared" si="0"/>
        <v>59.871517419815</v>
      </c>
    </row>
    <row r="17" spans="1:9" x14ac:dyDescent="0.3">
      <c r="A17" t="s">
        <v>484</v>
      </c>
      <c r="B17">
        <v>1000</v>
      </c>
      <c r="C17">
        <v>1</v>
      </c>
      <c r="D17">
        <v>31234</v>
      </c>
      <c r="E17">
        <v>31229</v>
      </c>
      <c r="F17">
        <v>43329</v>
      </c>
      <c r="G17" t="s">
        <v>515</v>
      </c>
      <c r="H17" t="s">
        <v>516</v>
      </c>
      <c r="I17">
        <f t="shared" si="0"/>
        <v>6.0064444541931099</v>
      </c>
    </row>
    <row r="18" spans="1:9" x14ac:dyDescent="0.3">
      <c r="A18" t="s">
        <v>484</v>
      </c>
      <c r="B18">
        <v>1000</v>
      </c>
      <c r="C18">
        <v>10</v>
      </c>
      <c r="D18">
        <v>31234</v>
      </c>
      <c r="E18">
        <v>31227</v>
      </c>
      <c r="F18">
        <v>43407</v>
      </c>
      <c r="G18" t="s">
        <v>517</v>
      </c>
      <c r="H18" t="s">
        <v>518</v>
      </c>
      <c r="I18">
        <f t="shared" si="0"/>
        <v>6.3328869342803902</v>
      </c>
    </row>
    <row r="19" spans="1:9" x14ac:dyDescent="0.3">
      <c r="A19" t="s">
        <v>484</v>
      </c>
      <c r="B19">
        <v>1000</v>
      </c>
      <c r="C19">
        <v>15</v>
      </c>
      <c r="D19">
        <v>31234</v>
      </c>
      <c r="E19">
        <v>31227</v>
      </c>
      <c r="F19">
        <v>41847</v>
      </c>
      <c r="G19" t="s">
        <v>519</v>
      </c>
      <c r="H19" t="s">
        <v>520</v>
      </c>
      <c r="I19">
        <f t="shared" si="0"/>
        <v>5.3610913753509504</v>
      </c>
    </row>
    <row r="20" spans="1:9" x14ac:dyDescent="0.3">
      <c r="A20" t="s">
        <v>484</v>
      </c>
      <c r="B20">
        <v>1000</v>
      </c>
      <c r="C20">
        <v>20</v>
      </c>
      <c r="D20">
        <v>31234</v>
      </c>
      <c r="E20">
        <v>31234</v>
      </c>
      <c r="F20">
        <v>42354</v>
      </c>
      <c r="G20" t="s">
        <v>521</v>
      </c>
      <c r="H20" t="s">
        <v>522</v>
      </c>
      <c r="I20">
        <f t="shared" si="0"/>
        <v>6.5665106773376403</v>
      </c>
    </row>
    <row r="21" spans="1:9" x14ac:dyDescent="0.3">
      <c r="A21" t="s">
        <v>484</v>
      </c>
      <c r="B21">
        <v>1000</v>
      </c>
      <c r="C21">
        <v>5</v>
      </c>
      <c r="D21">
        <v>31234</v>
      </c>
      <c r="E21">
        <v>31229</v>
      </c>
      <c r="F21">
        <v>43329</v>
      </c>
      <c r="G21" t="s">
        <v>523</v>
      </c>
      <c r="H21" t="s">
        <v>524</v>
      </c>
      <c r="I21">
        <f t="shared" si="0"/>
        <v>7.3296535015106201</v>
      </c>
    </row>
    <row r="22" spans="1:9" x14ac:dyDescent="0.3">
      <c r="A22" t="s">
        <v>484</v>
      </c>
      <c r="B22">
        <v>100</v>
      </c>
      <c r="C22">
        <v>1</v>
      </c>
      <c r="D22">
        <v>31234</v>
      </c>
      <c r="E22">
        <v>31222</v>
      </c>
      <c r="F22">
        <v>41262</v>
      </c>
      <c r="G22" t="s">
        <v>525</v>
      </c>
      <c r="H22" t="s">
        <v>526</v>
      </c>
      <c r="I22">
        <f t="shared" si="0"/>
        <v>0.56330251693725497</v>
      </c>
    </row>
    <row r="23" spans="1:9" x14ac:dyDescent="0.3">
      <c r="A23" t="s">
        <v>484</v>
      </c>
      <c r="B23">
        <v>100</v>
      </c>
      <c r="C23">
        <v>10</v>
      </c>
      <c r="D23">
        <v>31234</v>
      </c>
      <c r="E23">
        <v>31219</v>
      </c>
      <c r="F23">
        <v>42159</v>
      </c>
      <c r="G23" t="s">
        <v>527</v>
      </c>
      <c r="H23" t="s">
        <v>528</v>
      </c>
      <c r="I23">
        <f t="shared" si="0"/>
        <v>0.684972524642944</v>
      </c>
    </row>
    <row r="24" spans="1:9" x14ac:dyDescent="0.3">
      <c r="A24" t="s">
        <v>484</v>
      </c>
      <c r="B24">
        <v>100</v>
      </c>
      <c r="C24">
        <v>15</v>
      </c>
      <c r="D24">
        <v>31234</v>
      </c>
      <c r="E24">
        <v>31229</v>
      </c>
      <c r="F24">
        <v>41769</v>
      </c>
      <c r="G24" t="s">
        <v>529</v>
      </c>
      <c r="H24" t="s">
        <v>530</v>
      </c>
      <c r="I24">
        <f t="shared" si="0"/>
        <v>0.60067963600158603</v>
      </c>
    </row>
    <row r="25" spans="1:9" x14ac:dyDescent="0.3">
      <c r="A25" t="s">
        <v>484</v>
      </c>
      <c r="B25">
        <v>100</v>
      </c>
      <c r="C25">
        <v>20</v>
      </c>
      <c r="D25">
        <v>31234</v>
      </c>
      <c r="E25">
        <v>31221</v>
      </c>
      <c r="F25">
        <v>42081</v>
      </c>
      <c r="G25" t="s">
        <v>531</v>
      </c>
      <c r="H25" t="s">
        <v>532</v>
      </c>
      <c r="I25">
        <f t="shared" si="0"/>
        <v>0.61826539039611805</v>
      </c>
    </row>
    <row r="26" spans="1:9" x14ac:dyDescent="0.3">
      <c r="A26" t="s">
        <v>484</v>
      </c>
      <c r="B26">
        <v>100</v>
      </c>
      <c r="C26">
        <v>5</v>
      </c>
      <c r="D26">
        <v>31234</v>
      </c>
      <c r="E26">
        <v>31227</v>
      </c>
      <c r="F26">
        <v>41847</v>
      </c>
      <c r="G26" t="s">
        <v>533</v>
      </c>
      <c r="H26" t="s">
        <v>534</v>
      </c>
      <c r="I26">
        <f t="shared" si="0"/>
        <v>0.55787014961242598</v>
      </c>
    </row>
    <row r="27" spans="1:9" x14ac:dyDescent="0.3">
      <c r="A27" t="s">
        <v>484</v>
      </c>
      <c r="B27">
        <v>10</v>
      </c>
      <c r="C27">
        <v>1</v>
      </c>
      <c r="D27">
        <v>31234</v>
      </c>
      <c r="E27">
        <v>31227</v>
      </c>
      <c r="F27">
        <v>41847</v>
      </c>
      <c r="G27" t="s">
        <v>535</v>
      </c>
      <c r="H27" t="s">
        <v>536</v>
      </c>
      <c r="I27">
        <f t="shared" si="0"/>
        <v>9.3069314956664997E-2</v>
      </c>
    </row>
    <row r="28" spans="1:9" x14ac:dyDescent="0.3">
      <c r="A28" t="s">
        <v>484</v>
      </c>
      <c r="B28">
        <v>10</v>
      </c>
      <c r="C28">
        <v>10</v>
      </c>
      <c r="D28">
        <v>31234</v>
      </c>
      <c r="E28">
        <v>31219</v>
      </c>
      <c r="F28">
        <v>42159</v>
      </c>
      <c r="G28" t="s">
        <v>537</v>
      </c>
      <c r="H28" t="s">
        <v>538</v>
      </c>
      <c r="I28">
        <f t="shared" si="0"/>
        <v>0.109777688980102</v>
      </c>
    </row>
    <row r="29" spans="1:9" x14ac:dyDescent="0.3">
      <c r="A29" t="s">
        <v>484</v>
      </c>
      <c r="B29">
        <v>10</v>
      </c>
      <c r="C29">
        <v>15</v>
      </c>
      <c r="D29">
        <v>31234</v>
      </c>
      <c r="E29">
        <v>31232</v>
      </c>
      <c r="F29">
        <v>42432</v>
      </c>
      <c r="G29" t="s">
        <v>539</v>
      </c>
      <c r="H29" t="s">
        <v>540</v>
      </c>
      <c r="I29">
        <f t="shared" si="0"/>
        <v>5.4584503173828097E-2</v>
      </c>
    </row>
    <row r="30" spans="1:9" x14ac:dyDescent="0.3">
      <c r="A30" t="s">
        <v>484</v>
      </c>
      <c r="B30">
        <v>10</v>
      </c>
      <c r="C30">
        <v>20</v>
      </c>
      <c r="D30">
        <v>31234</v>
      </c>
      <c r="E30">
        <v>31232</v>
      </c>
      <c r="F30">
        <v>42432</v>
      </c>
      <c r="G30" t="s">
        <v>541</v>
      </c>
      <c r="H30" t="s">
        <v>542</v>
      </c>
      <c r="I30">
        <f t="shared" si="0"/>
        <v>9.7600936889648396E-2</v>
      </c>
    </row>
    <row r="31" spans="1:9" x14ac:dyDescent="0.3">
      <c r="A31" t="s">
        <v>484</v>
      </c>
      <c r="B31">
        <v>10</v>
      </c>
      <c r="C31">
        <v>5</v>
      </c>
      <c r="D31">
        <v>31234</v>
      </c>
      <c r="E31">
        <v>31229</v>
      </c>
      <c r="F31">
        <v>41769</v>
      </c>
      <c r="G31" t="s">
        <v>543</v>
      </c>
      <c r="H31" t="s">
        <v>544</v>
      </c>
      <c r="I31">
        <f t="shared" si="0"/>
        <v>9.515380859375E-2</v>
      </c>
    </row>
    <row r="32" spans="1:9" x14ac:dyDescent="0.3">
      <c r="A32" t="s">
        <v>484</v>
      </c>
      <c r="B32">
        <v>500000</v>
      </c>
      <c r="C32">
        <v>1</v>
      </c>
      <c r="D32">
        <v>31234</v>
      </c>
      <c r="E32">
        <v>31226</v>
      </c>
      <c r="F32">
        <v>42666</v>
      </c>
      <c r="G32" t="s">
        <v>545</v>
      </c>
      <c r="H32" t="s">
        <v>546</v>
      </c>
      <c r="I32">
        <f t="shared" si="0"/>
        <v>2842.2148604393001</v>
      </c>
    </row>
    <row r="33" spans="1:9" x14ac:dyDescent="0.3">
      <c r="A33" t="s">
        <v>484</v>
      </c>
      <c r="B33">
        <v>500000</v>
      </c>
      <c r="C33">
        <v>10</v>
      </c>
      <c r="D33">
        <v>31234</v>
      </c>
      <c r="E33">
        <v>31217</v>
      </c>
      <c r="F33">
        <v>42237</v>
      </c>
      <c r="G33" t="s">
        <v>547</v>
      </c>
      <c r="H33" t="s">
        <v>548</v>
      </c>
      <c r="I33">
        <f t="shared" si="0"/>
        <v>2475.45661497116</v>
      </c>
    </row>
    <row r="34" spans="1:9" x14ac:dyDescent="0.3">
      <c r="A34" t="s">
        <v>484</v>
      </c>
      <c r="B34">
        <v>500000</v>
      </c>
      <c r="C34">
        <v>15</v>
      </c>
      <c r="D34">
        <v>31234</v>
      </c>
      <c r="E34">
        <v>31228</v>
      </c>
      <c r="F34">
        <v>42588</v>
      </c>
      <c r="G34" t="s">
        <v>549</v>
      </c>
      <c r="H34" t="s">
        <v>550</v>
      </c>
      <c r="I34">
        <f t="shared" ref="I34:I51" si="1">IF(ISNUMBER(G34), G34, SUBSTITUTE(G34, ".", ",")*1)</f>
        <v>2678.8324387073499</v>
      </c>
    </row>
    <row r="35" spans="1:9" x14ac:dyDescent="0.3">
      <c r="A35" t="s">
        <v>484</v>
      </c>
      <c r="B35">
        <v>500000</v>
      </c>
      <c r="C35">
        <v>20</v>
      </c>
      <c r="D35">
        <v>31234</v>
      </c>
      <c r="E35">
        <v>31221</v>
      </c>
      <c r="F35">
        <v>40521</v>
      </c>
      <c r="G35" t="s">
        <v>551</v>
      </c>
      <c r="H35" t="s">
        <v>552</v>
      </c>
      <c r="I35">
        <f t="shared" si="1"/>
        <v>2342.1828634738899</v>
      </c>
    </row>
    <row r="36" spans="1:9" x14ac:dyDescent="0.3">
      <c r="A36" t="s">
        <v>484</v>
      </c>
      <c r="B36">
        <v>500000</v>
      </c>
      <c r="C36">
        <v>5</v>
      </c>
      <c r="D36">
        <v>31234</v>
      </c>
      <c r="E36">
        <v>31224</v>
      </c>
      <c r="F36">
        <v>41184</v>
      </c>
      <c r="G36" t="s">
        <v>553</v>
      </c>
      <c r="H36" t="s">
        <v>554</v>
      </c>
      <c r="I36">
        <f t="shared" si="1"/>
        <v>2451.18838191032</v>
      </c>
    </row>
    <row r="37" spans="1:9" x14ac:dyDescent="0.3">
      <c r="A37" t="s">
        <v>484</v>
      </c>
      <c r="B37">
        <v>50000</v>
      </c>
      <c r="C37">
        <v>1</v>
      </c>
      <c r="D37">
        <v>31234</v>
      </c>
      <c r="E37">
        <v>31227</v>
      </c>
      <c r="F37">
        <v>43407</v>
      </c>
      <c r="G37" t="s">
        <v>555</v>
      </c>
      <c r="H37" t="s">
        <v>556</v>
      </c>
      <c r="I37">
        <f t="shared" si="1"/>
        <v>292.00393342971802</v>
      </c>
    </row>
    <row r="38" spans="1:9" x14ac:dyDescent="0.3">
      <c r="A38" t="s">
        <v>484</v>
      </c>
      <c r="B38">
        <v>50000</v>
      </c>
      <c r="C38">
        <v>10</v>
      </c>
      <c r="D38">
        <v>31234</v>
      </c>
      <c r="E38">
        <v>31227</v>
      </c>
      <c r="F38">
        <v>41847</v>
      </c>
      <c r="G38" t="s">
        <v>557</v>
      </c>
      <c r="H38" t="s">
        <v>558</v>
      </c>
      <c r="I38">
        <f t="shared" si="1"/>
        <v>268.28385376930203</v>
      </c>
    </row>
    <row r="39" spans="1:9" x14ac:dyDescent="0.3">
      <c r="A39" t="s">
        <v>484</v>
      </c>
      <c r="B39">
        <v>50000</v>
      </c>
      <c r="C39">
        <v>15</v>
      </c>
      <c r="D39">
        <v>31234</v>
      </c>
      <c r="E39">
        <v>31231</v>
      </c>
      <c r="F39">
        <v>41691</v>
      </c>
      <c r="G39" t="s">
        <v>559</v>
      </c>
      <c r="H39" t="s">
        <v>560</v>
      </c>
      <c r="I39">
        <f t="shared" si="1"/>
        <v>263.29592680931</v>
      </c>
    </row>
    <row r="40" spans="1:9" x14ac:dyDescent="0.3">
      <c r="A40" t="s">
        <v>484</v>
      </c>
      <c r="B40">
        <v>50000</v>
      </c>
      <c r="C40">
        <v>20</v>
      </c>
      <c r="D40">
        <v>31234</v>
      </c>
      <c r="E40">
        <v>31234</v>
      </c>
      <c r="F40">
        <v>42354</v>
      </c>
      <c r="G40" t="s">
        <v>561</v>
      </c>
      <c r="H40" t="s">
        <v>562</v>
      </c>
      <c r="I40">
        <f t="shared" si="1"/>
        <v>289.85808372497502</v>
      </c>
    </row>
    <row r="41" spans="1:9" x14ac:dyDescent="0.3">
      <c r="A41" t="s">
        <v>484</v>
      </c>
      <c r="B41">
        <v>50000</v>
      </c>
      <c r="C41">
        <v>5</v>
      </c>
      <c r="D41">
        <v>31234</v>
      </c>
      <c r="E41">
        <v>31219</v>
      </c>
      <c r="F41">
        <v>42159</v>
      </c>
      <c r="G41" t="s">
        <v>563</v>
      </c>
      <c r="H41" t="s">
        <v>564</v>
      </c>
      <c r="I41">
        <f t="shared" si="1"/>
        <v>268.69032382965003</v>
      </c>
    </row>
    <row r="42" spans="1:9" x14ac:dyDescent="0.3">
      <c r="A42" t="s">
        <v>484</v>
      </c>
      <c r="B42">
        <v>5000</v>
      </c>
      <c r="C42">
        <v>1</v>
      </c>
      <c r="D42">
        <v>31234</v>
      </c>
      <c r="E42">
        <v>31223</v>
      </c>
      <c r="F42">
        <v>42003</v>
      </c>
      <c r="G42" t="s">
        <v>565</v>
      </c>
      <c r="H42" t="s">
        <v>566</v>
      </c>
      <c r="I42">
        <f t="shared" si="1"/>
        <v>26.489049434661801</v>
      </c>
    </row>
    <row r="43" spans="1:9" x14ac:dyDescent="0.3">
      <c r="A43" t="s">
        <v>484</v>
      </c>
      <c r="B43">
        <v>5000</v>
      </c>
      <c r="C43">
        <v>10</v>
      </c>
      <c r="D43">
        <v>31234</v>
      </c>
      <c r="E43">
        <v>31218</v>
      </c>
      <c r="F43">
        <v>42978</v>
      </c>
      <c r="G43" t="s">
        <v>567</v>
      </c>
      <c r="H43" t="s">
        <v>568</v>
      </c>
      <c r="I43">
        <f t="shared" si="1"/>
        <v>29.294591426849301</v>
      </c>
    </row>
    <row r="44" spans="1:9" x14ac:dyDescent="0.3">
      <c r="A44" t="s">
        <v>484</v>
      </c>
      <c r="B44">
        <v>5000</v>
      </c>
      <c r="C44">
        <v>15</v>
      </c>
      <c r="D44">
        <v>31234</v>
      </c>
      <c r="E44">
        <v>31229</v>
      </c>
      <c r="F44">
        <v>41769</v>
      </c>
      <c r="G44" t="s">
        <v>569</v>
      </c>
      <c r="H44" t="s">
        <v>570</v>
      </c>
      <c r="I44">
        <f t="shared" si="1"/>
        <v>24.425600051879801</v>
      </c>
    </row>
    <row r="45" spans="1:9" x14ac:dyDescent="0.3">
      <c r="A45" t="s">
        <v>484</v>
      </c>
      <c r="B45">
        <v>5000</v>
      </c>
      <c r="C45">
        <v>20</v>
      </c>
      <c r="D45">
        <v>31234</v>
      </c>
      <c r="E45">
        <v>31231</v>
      </c>
      <c r="F45">
        <v>43251</v>
      </c>
      <c r="G45" t="s">
        <v>571</v>
      </c>
      <c r="H45" t="s">
        <v>572</v>
      </c>
      <c r="I45">
        <f t="shared" si="1"/>
        <v>28.063736915588301</v>
      </c>
    </row>
    <row r="46" spans="1:9" x14ac:dyDescent="0.3">
      <c r="A46" t="s">
        <v>484</v>
      </c>
      <c r="B46">
        <v>5000</v>
      </c>
      <c r="C46">
        <v>5</v>
      </c>
      <c r="D46">
        <v>31234</v>
      </c>
      <c r="E46">
        <v>31219</v>
      </c>
      <c r="F46">
        <v>42159</v>
      </c>
      <c r="G46" t="s">
        <v>573</v>
      </c>
      <c r="H46" t="s">
        <v>574</v>
      </c>
      <c r="I46">
        <f t="shared" si="1"/>
        <v>28.366127729415801</v>
      </c>
    </row>
    <row r="47" spans="1:9" x14ac:dyDescent="0.3">
      <c r="A47" t="s">
        <v>484</v>
      </c>
      <c r="B47">
        <v>500</v>
      </c>
      <c r="C47">
        <v>1</v>
      </c>
      <c r="D47">
        <v>31234</v>
      </c>
      <c r="E47">
        <v>31226</v>
      </c>
      <c r="F47">
        <v>42666</v>
      </c>
      <c r="G47" t="s">
        <v>575</v>
      </c>
      <c r="H47" t="s">
        <v>576</v>
      </c>
      <c r="I47">
        <f t="shared" si="1"/>
        <v>2.80781722068786</v>
      </c>
    </row>
    <row r="48" spans="1:9" x14ac:dyDescent="0.3">
      <c r="A48" t="s">
        <v>484</v>
      </c>
      <c r="B48">
        <v>500</v>
      </c>
      <c r="C48">
        <v>10</v>
      </c>
      <c r="D48">
        <v>31234</v>
      </c>
      <c r="E48">
        <v>31221</v>
      </c>
      <c r="F48">
        <v>42081</v>
      </c>
      <c r="G48" t="s">
        <v>577</v>
      </c>
      <c r="H48" t="s">
        <v>578</v>
      </c>
      <c r="I48">
        <f t="shared" si="1"/>
        <v>2.9357230663299498</v>
      </c>
    </row>
    <row r="49" spans="1:9" x14ac:dyDescent="0.3">
      <c r="A49" t="s">
        <v>484</v>
      </c>
      <c r="B49">
        <v>500</v>
      </c>
      <c r="C49">
        <v>15</v>
      </c>
      <c r="D49">
        <v>31234</v>
      </c>
      <c r="E49">
        <v>31224</v>
      </c>
      <c r="F49">
        <v>41184</v>
      </c>
      <c r="G49" t="s">
        <v>579</v>
      </c>
      <c r="H49" t="s">
        <v>580</v>
      </c>
      <c r="I49">
        <f t="shared" si="1"/>
        <v>3.04874420166015</v>
      </c>
    </row>
    <row r="50" spans="1:9" x14ac:dyDescent="0.3">
      <c r="A50" t="s">
        <v>484</v>
      </c>
      <c r="B50">
        <v>500</v>
      </c>
      <c r="C50">
        <v>20</v>
      </c>
      <c r="D50">
        <v>31234</v>
      </c>
      <c r="E50">
        <v>31223</v>
      </c>
      <c r="F50">
        <v>43563</v>
      </c>
      <c r="G50" t="s">
        <v>581</v>
      </c>
      <c r="H50" t="s">
        <v>582</v>
      </c>
      <c r="I50">
        <f t="shared" si="1"/>
        <v>3.19149494171142</v>
      </c>
    </row>
    <row r="51" spans="1:9" x14ac:dyDescent="0.3">
      <c r="A51" t="s">
        <v>484</v>
      </c>
      <c r="B51">
        <v>500</v>
      </c>
      <c r="C51">
        <v>5</v>
      </c>
      <c r="D51">
        <v>31234</v>
      </c>
      <c r="E51">
        <v>31227</v>
      </c>
      <c r="F51">
        <v>43407</v>
      </c>
      <c r="G51" t="s">
        <v>583</v>
      </c>
      <c r="H51" t="s">
        <v>584</v>
      </c>
      <c r="I51">
        <f t="shared" si="1"/>
        <v>3.1948549747467001</v>
      </c>
    </row>
    <row r="57" spans="1:9" x14ac:dyDescent="0.3">
      <c r="A57" t="s">
        <v>875</v>
      </c>
      <c r="B57">
        <f>AVERAGE(results_5_fusionné[tps_nb])</f>
        <v>923.42356719493796</v>
      </c>
    </row>
    <row r="58" spans="1:9" x14ac:dyDescent="0.3">
      <c r="A58" t="s">
        <v>874</v>
      </c>
      <c r="B58">
        <f>MAX(results_5_fusionné[Total profit])</f>
        <v>43719</v>
      </c>
    </row>
    <row r="60" spans="1:9" x14ac:dyDescent="0.3">
      <c r="A60" s="1" t="s">
        <v>870</v>
      </c>
      <c r="B60" t="s">
        <v>873</v>
      </c>
    </row>
    <row r="61" spans="1:9" x14ac:dyDescent="0.3">
      <c r="A61" s="2">
        <v>10</v>
      </c>
      <c r="B61">
        <v>42127.8</v>
      </c>
    </row>
    <row r="62" spans="1:9" x14ac:dyDescent="0.3">
      <c r="A62" s="2">
        <v>100</v>
      </c>
      <c r="B62">
        <v>41823.599999999999</v>
      </c>
    </row>
    <row r="63" spans="1:9" x14ac:dyDescent="0.3">
      <c r="A63" s="2">
        <v>500</v>
      </c>
      <c r="B63">
        <v>42580.2</v>
      </c>
    </row>
    <row r="64" spans="1:9" x14ac:dyDescent="0.3">
      <c r="A64" s="2">
        <v>1000</v>
      </c>
      <c r="B64">
        <v>42853.2</v>
      </c>
    </row>
    <row r="65" spans="1:2" x14ac:dyDescent="0.3">
      <c r="A65" s="2">
        <v>5000</v>
      </c>
      <c r="B65">
        <v>42432</v>
      </c>
    </row>
    <row r="66" spans="1:2" x14ac:dyDescent="0.3">
      <c r="A66" s="2">
        <v>10000</v>
      </c>
      <c r="B66">
        <v>42205.8</v>
      </c>
    </row>
    <row r="67" spans="1:2" x14ac:dyDescent="0.3">
      <c r="A67" s="2">
        <v>50000</v>
      </c>
      <c r="B67">
        <v>42291.6</v>
      </c>
    </row>
    <row r="68" spans="1:2" x14ac:dyDescent="0.3">
      <c r="A68" s="2">
        <v>100000</v>
      </c>
      <c r="B68">
        <v>42346.2</v>
      </c>
    </row>
    <row r="69" spans="1:2" x14ac:dyDescent="0.3">
      <c r="A69" s="2">
        <v>500000</v>
      </c>
      <c r="B69">
        <v>41839.199999999997</v>
      </c>
    </row>
    <row r="70" spans="1:2" x14ac:dyDescent="0.3">
      <c r="A70" s="2">
        <v>1000000</v>
      </c>
      <c r="B70">
        <v>42221.4</v>
      </c>
    </row>
    <row r="71" spans="1:2" x14ac:dyDescent="0.3">
      <c r="A71" s="2" t="s">
        <v>871</v>
      </c>
      <c r="B71">
        <v>42272.1</v>
      </c>
    </row>
    <row r="77" spans="1:2" x14ac:dyDescent="0.3">
      <c r="A77" s="1" t="s">
        <v>870</v>
      </c>
      <c r="B77" t="s">
        <v>873</v>
      </c>
    </row>
    <row r="78" spans="1:2" x14ac:dyDescent="0.3">
      <c r="A78" s="2">
        <v>1</v>
      </c>
      <c r="B78">
        <v>42525.599999999999</v>
      </c>
    </row>
    <row r="79" spans="1:2" x14ac:dyDescent="0.3">
      <c r="A79" s="2">
        <v>5</v>
      </c>
      <c r="B79">
        <v>42248.7</v>
      </c>
    </row>
    <row r="80" spans="1:2" x14ac:dyDescent="0.3">
      <c r="A80" s="2">
        <v>10</v>
      </c>
      <c r="B80">
        <v>42338.400000000001</v>
      </c>
    </row>
    <row r="81" spans="1:2" x14ac:dyDescent="0.3">
      <c r="A81" s="2">
        <v>15</v>
      </c>
      <c r="B81">
        <v>41874.300000000003</v>
      </c>
    </row>
    <row r="82" spans="1:2" x14ac:dyDescent="0.3">
      <c r="A82" s="2">
        <v>20</v>
      </c>
      <c r="B82">
        <v>42373.5</v>
      </c>
    </row>
    <row r="83" spans="1:2" x14ac:dyDescent="0.3">
      <c r="A83" s="2" t="s">
        <v>871</v>
      </c>
      <c r="B83">
        <v>42272.1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2852-29F8-4476-8655-5FEE9990DFFE}">
  <dimension ref="A1:I83"/>
  <sheetViews>
    <sheetView topLeftCell="A66" workbookViewId="0">
      <selection activeCell="A57" sqref="A57:B58"/>
    </sheetView>
  </sheetViews>
  <sheetFormatPr baseColWidth="10" defaultRowHeight="14.4" x14ac:dyDescent="0.3"/>
  <cols>
    <col min="1" max="1" width="19.5546875" bestFit="1" customWidth="1"/>
    <col min="2" max="2" width="20.21875" bestFit="1" customWidth="1"/>
    <col min="3" max="3" width="17.109375" bestFit="1" customWidth="1"/>
    <col min="4" max="4" width="11.6640625" bestFit="1" customWidth="1"/>
    <col min="5" max="5" width="13.109375" bestFit="1" customWidth="1"/>
    <col min="6" max="6" width="12.21875" bestFit="1" customWidth="1"/>
    <col min="7" max="7" width="18.88671875" bestFit="1" customWidth="1"/>
    <col min="8" max="8" width="60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876</v>
      </c>
    </row>
    <row r="2" spans="1:9" x14ac:dyDescent="0.3">
      <c r="A2" t="s">
        <v>585</v>
      </c>
      <c r="B2">
        <v>1000000</v>
      </c>
      <c r="C2">
        <v>1</v>
      </c>
      <c r="D2">
        <v>997</v>
      </c>
      <c r="E2">
        <v>993</v>
      </c>
      <c r="F2">
        <v>996</v>
      </c>
      <c r="G2" t="s">
        <v>586</v>
      </c>
      <c r="H2" t="s">
        <v>587</v>
      </c>
      <c r="I2">
        <f t="shared" ref="I2:I33" si="0">IF(ISNUMBER(G2), G2, SUBSTITUTE(G2, ".", ",")*1)</f>
        <v>25.082973241805998</v>
      </c>
    </row>
    <row r="3" spans="1:9" x14ac:dyDescent="0.3">
      <c r="A3" t="s">
        <v>585</v>
      </c>
      <c r="B3">
        <v>1000000</v>
      </c>
      <c r="C3">
        <v>10</v>
      </c>
      <c r="D3">
        <v>997</v>
      </c>
      <c r="E3">
        <v>996</v>
      </c>
      <c r="F3">
        <v>1002</v>
      </c>
      <c r="G3" t="s">
        <v>588</v>
      </c>
      <c r="H3" t="s">
        <v>589</v>
      </c>
      <c r="I3">
        <f t="shared" si="0"/>
        <v>27.317388772964399</v>
      </c>
    </row>
    <row r="4" spans="1:9" x14ac:dyDescent="0.3">
      <c r="A4" t="s">
        <v>585</v>
      </c>
      <c r="B4">
        <v>1000000</v>
      </c>
      <c r="C4">
        <v>15</v>
      </c>
      <c r="D4">
        <v>997</v>
      </c>
      <c r="E4">
        <v>997</v>
      </c>
      <c r="F4">
        <v>1002</v>
      </c>
      <c r="G4" t="s">
        <v>590</v>
      </c>
      <c r="H4" t="s">
        <v>591</v>
      </c>
      <c r="I4">
        <f t="shared" si="0"/>
        <v>1.0015964508056001E-3</v>
      </c>
    </row>
    <row r="5" spans="1:9" x14ac:dyDescent="0.3">
      <c r="A5" t="s">
        <v>585</v>
      </c>
      <c r="B5">
        <v>1000000</v>
      </c>
      <c r="C5">
        <v>20</v>
      </c>
      <c r="D5">
        <v>997</v>
      </c>
      <c r="E5">
        <v>996</v>
      </c>
      <c r="F5">
        <v>1005</v>
      </c>
      <c r="G5" t="s">
        <v>592</v>
      </c>
      <c r="H5" t="s">
        <v>593</v>
      </c>
      <c r="I5">
        <f t="shared" si="0"/>
        <v>30.578445672988799</v>
      </c>
    </row>
    <row r="6" spans="1:9" x14ac:dyDescent="0.3">
      <c r="A6" t="s">
        <v>585</v>
      </c>
      <c r="B6">
        <v>1000000</v>
      </c>
      <c r="C6">
        <v>5</v>
      </c>
      <c r="D6">
        <v>997</v>
      </c>
      <c r="E6">
        <v>997</v>
      </c>
      <c r="F6">
        <v>999</v>
      </c>
      <c r="G6" t="s">
        <v>15</v>
      </c>
      <c r="H6" t="s">
        <v>594</v>
      </c>
      <c r="I6">
        <f t="shared" si="0"/>
        <v>0</v>
      </c>
    </row>
    <row r="7" spans="1:9" x14ac:dyDescent="0.3">
      <c r="A7" t="s">
        <v>585</v>
      </c>
      <c r="B7">
        <v>100000</v>
      </c>
      <c r="C7">
        <v>1</v>
      </c>
      <c r="D7">
        <v>997</v>
      </c>
      <c r="E7">
        <v>994</v>
      </c>
      <c r="F7">
        <v>999</v>
      </c>
      <c r="G7" t="s">
        <v>595</v>
      </c>
      <c r="H7" t="s">
        <v>596</v>
      </c>
      <c r="I7">
        <f t="shared" si="0"/>
        <v>2.0248150825500399</v>
      </c>
    </row>
    <row r="8" spans="1:9" x14ac:dyDescent="0.3">
      <c r="A8" t="s">
        <v>585</v>
      </c>
      <c r="B8">
        <v>100000</v>
      </c>
      <c r="C8">
        <v>10</v>
      </c>
      <c r="D8">
        <v>997</v>
      </c>
      <c r="E8">
        <v>997</v>
      </c>
      <c r="F8">
        <v>1005</v>
      </c>
      <c r="G8" t="s">
        <v>597</v>
      </c>
      <c r="H8" t="s">
        <v>598</v>
      </c>
      <c r="I8">
        <f t="shared" si="0"/>
        <v>2.3029093742370601</v>
      </c>
    </row>
    <row r="9" spans="1:9" x14ac:dyDescent="0.3">
      <c r="A9" t="s">
        <v>585</v>
      </c>
      <c r="B9">
        <v>100000</v>
      </c>
      <c r="C9">
        <v>15</v>
      </c>
      <c r="D9">
        <v>997</v>
      </c>
      <c r="E9">
        <v>993</v>
      </c>
      <c r="F9">
        <v>999</v>
      </c>
      <c r="G9" t="s">
        <v>599</v>
      </c>
      <c r="H9" t="s">
        <v>600</v>
      </c>
      <c r="I9">
        <f t="shared" si="0"/>
        <v>1.1501312255859E-3</v>
      </c>
    </row>
    <row r="10" spans="1:9" x14ac:dyDescent="0.3">
      <c r="A10" t="s">
        <v>585</v>
      </c>
      <c r="B10">
        <v>100000</v>
      </c>
      <c r="C10">
        <v>20</v>
      </c>
      <c r="D10">
        <v>997</v>
      </c>
      <c r="E10">
        <v>994</v>
      </c>
      <c r="F10">
        <v>996</v>
      </c>
      <c r="G10" t="s">
        <v>15</v>
      </c>
      <c r="H10" t="s">
        <v>601</v>
      </c>
      <c r="I10">
        <f t="shared" si="0"/>
        <v>0</v>
      </c>
    </row>
    <row r="11" spans="1:9" x14ac:dyDescent="0.3">
      <c r="A11" t="s">
        <v>585</v>
      </c>
      <c r="B11">
        <v>100000</v>
      </c>
      <c r="C11">
        <v>5</v>
      </c>
      <c r="D11">
        <v>997</v>
      </c>
      <c r="E11">
        <v>993</v>
      </c>
      <c r="F11">
        <v>996</v>
      </c>
      <c r="G11" t="s">
        <v>602</v>
      </c>
      <c r="H11" t="s">
        <v>603</v>
      </c>
      <c r="I11">
        <f t="shared" si="0"/>
        <v>2.5946192741393999</v>
      </c>
    </row>
    <row r="12" spans="1:9" x14ac:dyDescent="0.3">
      <c r="A12" t="s">
        <v>585</v>
      </c>
      <c r="B12">
        <v>10000</v>
      </c>
      <c r="C12">
        <v>1</v>
      </c>
      <c r="D12">
        <v>997</v>
      </c>
      <c r="E12">
        <v>996</v>
      </c>
      <c r="F12">
        <v>999</v>
      </c>
      <c r="G12" t="s">
        <v>604</v>
      </c>
      <c r="H12" t="s">
        <v>605</v>
      </c>
      <c r="I12">
        <f t="shared" si="0"/>
        <v>0.27100181579589799</v>
      </c>
    </row>
    <row r="13" spans="1:9" x14ac:dyDescent="0.3">
      <c r="A13" t="s">
        <v>585</v>
      </c>
      <c r="B13">
        <v>10000</v>
      </c>
      <c r="C13">
        <v>10</v>
      </c>
      <c r="D13">
        <v>997</v>
      </c>
      <c r="E13">
        <v>996</v>
      </c>
      <c r="F13">
        <v>1002</v>
      </c>
      <c r="G13" t="s">
        <v>15</v>
      </c>
      <c r="H13" t="s">
        <v>606</v>
      </c>
      <c r="I13">
        <f t="shared" si="0"/>
        <v>0</v>
      </c>
    </row>
    <row r="14" spans="1:9" x14ac:dyDescent="0.3">
      <c r="A14" t="s">
        <v>585</v>
      </c>
      <c r="B14">
        <v>10000</v>
      </c>
      <c r="C14">
        <v>15</v>
      </c>
      <c r="D14">
        <v>997</v>
      </c>
      <c r="E14">
        <v>994</v>
      </c>
      <c r="F14">
        <v>999</v>
      </c>
      <c r="G14" t="s">
        <v>15</v>
      </c>
      <c r="H14" t="s">
        <v>607</v>
      </c>
      <c r="I14">
        <f t="shared" si="0"/>
        <v>0</v>
      </c>
    </row>
    <row r="15" spans="1:9" x14ac:dyDescent="0.3">
      <c r="A15" t="s">
        <v>585</v>
      </c>
      <c r="B15">
        <v>10000</v>
      </c>
      <c r="C15">
        <v>20</v>
      </c>
      <c r="D15">
        <v>997</v>
      </c>
      <c r="E15">
        <v>996</v>
      </c>
      <c r="F15">
        <v>999</v>
      </c>
      <c r="G15" t="s">
        <v>15</v>
      </c>
      <c r="H15" t="s">
        <v>608</v>
      </c>
      <c r="I15">
        <f t="shared" si="0"/>
        <v>0</v>
      </c>
    </row>
    <row r="16" spans="1:9" x14ac:dyDescent="0.3">
      <c r="A16" t="s">
        <v>585</v>
      </c>
      <c r="B16">
        <v>10000</v>
      </c>
      <c r="C16">
        <v>5</v>
      </c>
      <c r="D16">
        <v>997</v>
      </c>
      <c r="E16">
        <v>997</v>
      </c>
      <c r="F16">
        <v>1002</v>
      </c>
      <c r="G16" t="s">
        <v>609</v>
      </c>
      <c r="H16" t="s">
        <v>610</v>
      </c>
      <c r="I16">
        <f t="shared" si="0"/>
        <v>0.24010968208312899</v>
      </c>
    </row>
    <row r="17" spans="1:9" x14ac:dyDescent="0.3">
      <c r="A17" t="s">
        <v>585</v>
      </c>
      <c r="B17">
        <v>1000</v>
      </c>
      <c r="C17">
        <v>1</v>
      </c>
      <c r="D17">
        <v>997</v>
      </c>
      <c r="E17">
        <v>997</v>
      </c>
      <c r="F17">
        <v>1002</v>
      </c>
      <c r="G17" t="s">
        <v>611</v>
      </c>
      <c r="H17" t="s">
        <v>612</v>
      </c>
      <c r="I17">
        <f t="shared" si="0"/>
        <v>2.2475242614746E-2</v>
      </c>
    </row>
    <row r="18" spans="1:9" x14ac:dyDescent="0.3">
      <c r="A18" t="s">
        <v>585</v>
      </c>
      <c r="B18">
        <v>1000</v>
      </c>
      <c r="C18">
        <v>10</v>
      </c>
      <c r="D18">
        <v>997</v>
      </c>
      <c r="E18">
        <v>997</v>
      </c>
      <c r="F18">
        <v>1002</v>
      </c>
      <c r="G18" t="s">
        <v>613</v>
      </c>
      <c r="H18" t="s">
        <v>614</v>
      </c>
      <c r="I18">
        <f t="shared" si="0"/>
        <v>7.0448637008666895E-2</v>
      </c>
    </row>
    <row r="19" spans="1:9" x14ac:dyDescent="0.3">
      <c r="A19" t="s">
        <v>585</v>
      </c>
      <c r="B19">
        <v>1000</v>
      </c>
      <c r="C19">
        <v>15</v>
      </c>
      <c r="D19">
        <v>997</v>
      </c>
      <c r="E19">
        <v>996</v>
      </c>
      <c r="F19">
        <v>1002</v>
      </c>
      <c r="G19" t="s">
        <v>615</v>
      </c>
      <c r="H19" t="s">
        <v>616</v>
      </c>
      <c r="I19">
        <f t="shared" si="0"/>
        <v>5.9611797332763004E-3</v>
      </c>
    </row>
    <row r="20" spans="1:9" x14ac:dyDescent="0.3">
      <c r="A20" t="s">
        <v>585</v>
      </c>
      <c r="B20">
        <v>1000</v>
      </c>
      <c r="C20">
        <v>20</v>
      </c>
      <c r="D20">
        <v>997</v>
      </c>
      <c r="E20">
        <v>997</v>
      </c>
      <c r="F20">
        <v>1002</v>
      </c>
      <c r="G20" t="s">
        <v>617</v>
      </c>
      <c r="H20" t="s">
        <v>618</v>
      </c>
      <c r="I20">
        <f t="shared" si="0"/>
        <v>1.1894702911375999E-3</v>
      </c>
    </row>
    <row r="21" spans="1:9" x14ac:dyDescent="0.3">
      <c r="A21" t="s">
        <v>585</v>
      </c>
      <c r="B21">
        <v>1000</v>
      </c>
      <c r="C21">
        <v>5</v>
      </c>
      <c r="D21">
        <v>997</v>
      </c>
      <c r="E21">
        <v>995</v>
      </c>
      <c r="F21">
        <v>1002</v>
      </c>
      <c r="G21" t="s">
        <v>619</v>
      </c>
      <c r="H21" t="s">
        <v>620</v>
      </c>
      <c r="I21">
        <f t="shared" si="0"/>
        <v>5.69989681243896E-2</v>
      </c>
    </row>
    <row r="22" spans="1:9" x14ac:dyDescent="0.3">
      <c r="A22" t="s">
        <v>585</v>
      </c>
      <c r="B22">
        <v>100</v>
      </c>
      <c r="C22">
        <v>1</v>
      </c>
      <c r="D22">
        <v>997</v>
      </c>
      <c r="E22">
        <v>996</v>
      </c>
      <c r="F22">
        <v>999</v>
      </c>
      <c r="G22" t="s">
        <v>621</v>
      </c>
      <c r="H22" t="s">
        <v>622</v>
      </c>
      <c r="I22">
        <f t="shared" si="0"/>
        <v>2.2072792053222001E-3</v>
      </c>
    </row>
    <row r="23" spans="1:9" x14ac:dyDescent="0.3">
      <c r="A23" t="s">
        <v>585</v>
      </c>
      <c r="B23">
        <v>100</v>
      </c>
      <c r="C23">
        <v>10</v>
      </c>
      <c r="D23">
        <v>997</v>
      </c>
      <c r="E23">
        <v>992</v>
      </c>
      <c r="F23">
        <v>996</v>
      </c>
      <c r="G23" t="s">
        <v>623</v>
      </c>
      <c r="H23" t="s">
        <v>624</v>
      </c>
      <c r="I23">
        <f t="shared" si="0"/>
        <v>9.9754333496089999E-4</v>
      </c>
    </row>
    <row r="24" spans="1:9" x14ac:dyDescent="0.3">
      <c r="A24" t="s">
        <v>585</v>
      </c>
      <c r="B24">
        <v>100</v>
      </c>
      <c r="C24">
        <v>15</v>
      </c>
      <c r="D24">
        <v>997</v>
      </c>
      <c r="E24">
        <v>997</v>
      </c>
      <c r="F24">
        <v>999</v>
      </c>
      <c r="G24" t="s">
        <v>625</v>
      </c>
      <c r="H24" t="s">
        <v>626</v>
      </c>
      <c r="I24">
        <f t="shared" si="0"/>
        <v>1.1262893676756999E-3</v>
      </c>
    </row>
    <row r="25" spans="1:9" x14ac:dyDescent="0.3">
      <c r="A25" t="s">
        <v>585</v>
      </c>
      <c r="B25">
        <v>100</v>
      </c>
      <c r="C25">
        <v>20</v>
      </c>
      <c r="D25">
        <v>997</v>
      </c>
      <c r="E25">
        <v>997</v>
      </c>
      <c r="F25">
        <v>1002</v>
      </c>
      <c r="G25" t="s">
        <v>627</v>
      </c>
      <c r="H25" t="s">
        <v>628</v>
      </c>
      <c r="I25">
        <f t="shared" si="0"/>
        <v>2.0322799682617001E-3</v>
      </c>
    </row>
    <row r="26" spans="1:9" x14ac:dyDescent="0.3">
      <c r="A26" t="s">
        <v>585</v>
      </c>
      <c r="B26">
        <v>100</v>
      </c>
      <c r="C26">
        <v>5</v>
      </c>
      <c r="D26">
        <v>997</v>
      </c>
      <c r="E26">
        <v>996</v>
      </c>
      <c r="F26">
        <v>999</v>
      </c>
      <c r="G26" t="s">
        <v>629</v>
      </c>
      <c r="H26" t="s">
        <v>630</v>
      </c>
      <c r="I26">
        <f t="shared" si="0"/>
        <v>3.223180770874E-3</v>
      </c>
    </row>
    <row r="27" spans="1:9" x14ac:dyDescent="0.3">
      <c r="A27" t="s">
        <v>585</v>
      </c>
      <c r="B27">
        <v>10</v>
      </c>
      <c r="C27">
        <v>1</v>
      </c>
      <c r="D27">
        <v>997</v>
      </c>
      <c r="E27">
        <v>996</v>
      </c>
      <c r="F27">
        <v>999</v>
      </c>
      <c r="G27" t="s">
        <v>15</v>
      </c>
      <c r="H27" t="s">
        <v>631</v>
      </c>
      <c r="I27">
        <f t="shared" si="0"/>
        <v>0</v>
      </c>
    </row>
    <row r="28" spans="1:9" x14ac:dyDescent="0.3">
      <c r="A28" t="s">
        <v>585</v>
      </c>
      <c r="B28">
        <v>10</v>
      </c>
      <c r="C28">
        <v>10</v>
      </c>
      <c r="D28">
        <v>997</v>
      </c>
      <c r="E28">
        <v>996</v>
      </c>
      <c r="F28">
        <v>999</v>
      </c>
      <c r="G28" t="s">
        <v>15</v>
      </c>
      <c r="H28" t="s">
        <v>632</v>
      </c>
      <c r="I28">
        <f t="shared" si="0"/>
        <v>0</v>
      </c>
    </row>
    <row r="29" spans="1:9" x14ac:dyDescent="0.3">
      <c r="A29" t="s">
        <v>585</v>
      </c>
      <c r="B29">
        <v>10</v>
      </c>
      <c r="C29">
        <v>15</v>
      </c>
      <c r="D29">
        <v>997</v>
      </c>
      <c r="E29">
        <v>997</v>
      </c>
      <c r="F29">
        <v>999</v>
      </c>
      <c r="G29" t="s">
        <v>15</v>
      </c>
      <c r="H29" t="s">
        <v>633</v>
      </c>
      <c r="I29">
        <f t="shared" si="0"/>
        <v>0</v>
      </c>
    </row>
    <row r="30" spans="1:9" x14ac:dyDescent="0.3">
      <c r="A30" t="s">
        <v>585</v>
      </c>
      <c r="B30">
        <v>10</v>
      </c>
      <c r="C30">
        <v>20</v>
      </c>
      <c r="D30">
        <v>997</v>
      </c>
      <c r="E30">
        <v>995</v>
      </c>
      <c r="F30">
        <v>996</v>
      </c>
      <c r="G30" t="s">
        <v>15</v>
      </c>
      <c r="H30" t="s">
        <v>634</v>
      </c>
      <c r="I30">
        <f t="shared" si="0"/>
        <v>0</v>
      </c>
    </row>
    <row r="31" spans="1:9" x14ac:dyDescent="0.3">
      <c r="A31" t="s">
        <v>585</v>
      </c>
      <c r="B31">
        <v>10</v>
      </c>
      <c r="C31">
        <v>5</v>
      </c>
      <c r="D31">
        <v>997</v>
      </c>
      <c r="E31">
        <v>997</v>
      </c>
      <c r="F31">
        <v>1002</v>
      </c>
      <c r="G31" t="s">
        <v>37</v>
      </c>
      <c r="H31" t="s">
        <v>635</v>
      </c>
      <c r="I31">
        <f t="shared" si="0"/>
        <v>9.9873542785639999E-4</v>
      </c>
    </row>
    <row r="32" spans="1:9" x14ac:dyDescent="0.3">
      <c r="A32" t="s">
        <v>585</v>
      </c>
      <c r="B32">
        <v>500000</v>
      </c>
      <c r="C32">
        <v>1</v>
      </c>
      <c r="D32">
        <v>997</v>
      </c>
      <c r="E32">
        <v>997</v>
      </c>
      <c r="F32">
        <v>1002</v>
      </c>
      <c r="G32" t="s">
        <v>636</v>
      </c>
      <c r="H32" t="s">
        <v>637</v>
      </c>
      <c r="I32">
        <f t="shared" si="0"/>
        <v>9.2133560180663991</v>
      </c>
    </row>
    <row r="33" spans="1:9" x14ac:dyDescent="0.3">
      <c r="A33" t="s">
        <v>585</v>
      </c>
      <c r="B33">
        <v>500000</v>
      </c>
      <c r="C33">
        <v>10</v>
      </c>
      <c r="D33">
        <v>997</v>
      </c>
      <c r="E33">
        <v>997</v>
      </c>
      <c r="F33">
        <v>999</v>
      </c>
      <c r="G33" t="s">
        <v>638</v>
      </c>
      <c r="H33" t="s">
        <v>639</v>
      </c>
      <c r="I33">
        <f t="shared" si="0"/>
        <v>11.220798969268801</v>
      </c>
    </row>
    <row r="34" spans="1:9" x14ac:dyDescent="0.3">
      <c r="A34" t="s">
        <v>585</v>
      </c>
      <c r="B34">
        <v>500000</v>
      </c>
      <c r="C34">
        <v>15</v>
      </c>
      <c r="D34">
        <v>997</v>
      </c>
      <c r="E34">
        <v>997</v>
      </c>
      <c r="F34">
        <v>999</v>
      </c>
      <c r="G34" t="s">
        <v>15</v>
      </c>
      <c r="H34" t="s">
        <v>640</v>
      </c>
      <c r="I34">
        <f t="shared" ref="I34:I51" si="1">IF(ISNUMBER(G34), G34, SUBSTITUTE(G34, ".", ",")*1)</f>
        <v>0</v>
      </c>
    </row>
    <row r="35" spans="1:9" x14ac:dyDescent="0.3">
      <c r="A35" t="s">
        <v>585</v>
      </c>
      <c r="B35">
        <v>500000</v>
      </c>
      <c r="C35">
        <v>20</v>
      </c>
      <c r="D35">
        <v>997</v>
      </c>
      <c r="E35">
        <v>993</v>
      </c>
      <c r="F35">
        <v>1002</v>
      </c>
      <c r="G35" t="s">
        <v>641</v>
      </c>
      <c r="H35" t="s">
        <v>642</v>
      </c>
      <c r="I35">
        <f t="shared" si="1"/>
        <v>1.0035037994384E-3</v>
      </c>
    </row>
    <row r="36" spans="1:9" x14ac:dyDescent="0.3">
      <c r="A36" t="s">
        <v>585</v>
      </c>
      <c r="B36">
        <v>500000</v>
      </c>
      <c r="C36">
        <v>5</v>
      </c>
      <c r="D36">
        <v>997</v>
      </c>
      <c r="E36">
        <v>995</v>
      </c>
      <c r="F36">
        <v>999</v>
      </c>
      <c r="G36" t="s">
        <v>643</v>
      </c>
      <c r="H36" t="s">
        <v>644</v>
      </c>
      <c r="I36">
        <f t="shared" si="1"/>
        <v>13.5038435459136</v>
      </c>
    </row>
    <row r="37" spans="1:9" x14ac:dyDescent="0.3">
      <c r="A37" t="s">
        <v>585</v>
      </c>
      <c r="B37">
        <v>50000</v>
      </c>
      <c r="C37">
        <v>1</v>
      </c>
      <c r="D37">
        <v>997</v>
      </c>
      <c r="E37">
        <v>995</v>
      </c>
      <c r="F37">
        <v>999</v>
      </c>
      <c r="G37" t="s">
        <v>645</v>
      </c>
      <c r="H37" t="s">
        <v>646</v>
      </c>
      <c r="I37">
        <f t="shared" si="1"/>
        <v>1.1336436271667401</v>
      </c>
    </row>
    <row r="38" spans="1:9" x14ac:dyDescent="0.3">
      <c r="A38" t="s">
        <v>585</v>
      </c>
      <c r="B38">
        <v>50000</v>
      </c>
      <c r="C38">
        <v>10</v>
      </c>
      <c r="D38">
        <v>997</v>
      </c>
      <c r="E38">
        <v>996</v>
      </c>
      <c r="F38">
        <v>1002</v>
      </c>
      <c r="G38" t="s">
        <v>15</v>
      </c>
      <c r="H38" t="s">
        <v>647</v>
      </c>
      <c r="I38">
        <f t="shared" si="1"/>
        <v>0</v>
      </c>
    </row>
    <row r="39" spans="1:9" x14ac:dyDescent="0.3">
      <c r="A39" t="s">
        <v>585</v>
      </c>
      <c r="B39">
        <v>50000</v>
      </c>
      <c r="C39">
        <v>15</v>
      </c>
      <c r="D39">
        <v>997</v>
      </c>
      <c r="E39">
        <v>991</v>
      </c>
      <c r="F39">
        <v>993</v>
      </c>
      <c r="G39" t="s">
        <v>15</v>
      </c>
      <c r="H39" t="s">
        <v>648</v>
      </c>
      <c r="I39">
        <f t="shared" si="1"/>
        <v>0</v>
      </c>
    </row>
    <row r="40" spans="1:9" x14ac:dyDescent="0.3">
      <c r="A40" t="s">
        <v>585</v>
      </c>
      <c r="B40">
        <v>50000</v>
      </c>
      <c r="C40">
        <v>20</v>
      </c>
      <c r="D40">
        <v>997</v>
      </c>
      <c r="E40">
        <v>996</v>
      </c>
      <c r="F40">
        <v>1002</v>
      </c>
      <c r="G40" t="s">
        <v>649</v>
      </c>
      <c r="H40" t="s">
        <v>650</v>
      </c>
      <c r="I40">
        <f t="shared" si="1"/>
        <v>9.9325180053710005E-4</v>
      </c>
    </row>
    <row r="41" spans="1:9" x14ac:dyDescent="0.3">
      <c r="A41" t="s">
        <v>585</v>
      </c>
      <c r="B41">
        <v>50000</v>
      </c>
      <c r="C41">
        <v>5</v>
      </c>
      <c r="D41">
        <v>997</v>
      </c>
      <c r="E41">
        <v>992</v>
      </c>
      <c r="F41">
        <v>996</v>
      </c>
      <c r="G41" t="s">
        <v>651</v>
      </c>
      <c r="H41" t="s">
        <v>652</v>
      </c>
      <c r="I41">
        <f t="shared" si="1"/>
        <v>1.3236515522003101</v>
      </c>
    </row>
    <row r="42" spans="1:9" x14ac:dyDescent="0.3">
      <c r="A42" t="s">
        <v>585</v>
      </c>
      <c r="B42">
        <v>5000</v>
      </c>
      <c r="C42">
        <v>1</v>
      </c>
      <c r="D42">
        <v>997</v>
      </c>
      <c r="E42">
        <v>990</v>
      </c>
      <c r="F42">
        <v>996</v>
      </c>
      <c r="G42" t="s">
        <v>653</v>
      </c>
      <c r="H42" t="s">
        <v>654</v>
      </c>
      <c r="I42">
        <f t="shared" si="1"/>
        <v>0.148286342620849</v>
      </c>
    </row>
    <row r="43" spans="1:9" x14ac:dyDescent="0.3">
      <c r="A43" t="s">
        <v>585</v>
      </c>
      <c r="B43">
        <v>5000</v>
      </c>
      <c r="C43">
        <v>10</v>
      </c>
      <c r="D43">
        <v>997</v>
      </c>
      <c r="E43">
        <v>997</v>
      </c>
      <c r="F43">
        <v>1002</v>
      </c>
      <c r="G43" t="s">
        <v>17</v>
      </c>
      <c r="H43" t="s">
        <v>655</v>
      </c>
      <c r="I43">
        <f t="shared" si="1"/>
        <v>1.0020732879638E-3</v>
      </c>
    </row>
    <row r="44" spans="1:9" x14ac:dyDescent="0.3">
      <c r="A44" t="s">
        <v>585</v>
      </c>
      <c r="B44">
        <v>5000</v>
      </c>
      <c r="C44">
        <v>15</v>
      </c>
      <c r="D44">
        <v>997</v>
      </c>
      <c r="E44">
        <v>993</v>
      </c>
      <c r="F44">
        <v>996</v>
      </c>
      <c r="G44" t="s">
        <v>656</v>
      </c>
      <c r="H44" t="s">
        <v>657</v>
      </c>
      <c r="I44">
        <f t="shared" si="1"/>
        <v>0.12309765815734799</v>
      </c>
    </row>
    <row r="45" spans="1:9" x14ac:dyDescent="0.3">
      <c r="A45" t="s">
        <v>585</v>
      </c>
      <c r="B45">
        <v>5000</v>
      </c>
      <c r="C45">
        <v>20</v>
      </c>
      <c r="D45">
        <v>997</v>
      </c>
      <c r="E45">
        <v>997</v>
      </c>
      <c r="F45">
        <v>1002</v>
      </c>
      <c r="G45" t="s">
        <v>15</v>
      </c>
      <c r="H45" t="s">
        <v>658</v>
      </c>
      <c r="I45">
        <f t="shared" si="1"/>
        <v>0</v>
      </c>
    </row>
    <row r="46" spans="1:9" x14ac:dyDescent="0.3">
      <c r="A46" t="s">
        <v>585</v>
      </c>
      <c r="B46">
        <v>5000</v>
      </c>
      <c r="C46">
        <v>5</v>
      </c>
      <c r="D46">
        <v>997</v>
      </c>
      <c r="E46">
        <v>997</v>
      </c>
      <c r="F46">
        <v>1002</v>
      </c>
      <c r="G46" t="s">
        <v>659</v>
      </c>
      <c r="H46" t="s">
        <v>660</v>
      </c>
      <c r="I46">
        <f t="shared" si="1"/>
        <v>0.1226646900177</v>
      </c>
    </row>
    <row r="47" spans="1:9" x14ac:dyDescent="0.3">
      <c r="A47" t="s">
        <v>585</v>
      </c>
      <c r="B47">
        <v>500</v>
      </c>
      <c r="C47">
        <v>1</v>
      </c>
      <c r="D47">
        <v>997</v>
      </c>
      <c r="E47">
        <v>991</v>
      </c>
      <c r="F47">
        <v>999</v>
      </c>
      <c r="G47" t="s">
        <v>661</v>
      </c>
      <c r="H47" t="s">
        <v>662</v>
      </c>
      <c r="I47">
        <f t="shared" si="1"/>
        <v>1.10347270965576E-2</v>
      </c>
    </row>
    <row r="48" spans="1:9" x14ac:dyDescent="0.3">
      <c r="A48" t="s">
        <v>585</v>
      </c>
      <c r="B48">
        <v>500</v>
      </c>
      <c r="C48">
        <v>10</v>
      </c>
      <c r="D48">
        <v>997</v>
      </c>
      <c r="E48">
        <v>997</v>
      </c>
      <c r="F48">
        <v>999</v>
      </c>
      <c r="G48" t="s">
        <v>15</v>
      </c>
      <c r="H48" t="s">
        <v>663</v>
      </c>
      <c r="I48">
        <f t="shared" si="1"/>
        <v>0</v>
      </c>
    </row>
    <row r="49" spans="1:9" x14ac:dyDescent="0.3">
      <c r="A49" t="s">
        <v>585</v>
      </c>
      <c r="B49">
        <v>500</v>
      </c>
      <c r="C49">
        <v>15</v>
      </c>
      <c r="D49">
        <v>997</v>
      </c>
      <c r="E49">
        <v>994</v>
      </c>
      <c r="F49">
        <v>996</v>
      </c>
      <c r="G49" t="s">
        <v>15</v>
      </c>
      <c r="H49" t="s">
        <v>664</v>
      </c>
      <c r="I49">
        <f t="shared" si="1"/>
        <v>0</v>
      </c>
    </row>
    <row r="50" spans="1:9" x14ac:dyDescent="0.3">
      <c r="A50" t="s">
        <v>585</v>
      </c>
      <c r="B50">
        <v>500</v>
      </c>
      <c r="C50">
        <v>20</v>
      </c>
      <c r="D50">
        <v>997</v>
      </c>
      <c r="E50">
        <v>994</v>
      </c>
      <c r="F50">
        <v>999</v>
      </c>
      <c r="G50" t="s">
        <v>665</v>
      </c>
      <c r="H50" t="s">
        <v>666</v>
      </c>
      <c r="I50">
        <f t="shared" si="1"/>
        <v>1.1188983917236001E-3</v>
      </c>
    </row>
    <row r="51" spans="1:9" x14ac:dyDescent="0.3">
      <c r="A51" t="s">
        <v>585</v>
      </c>
      <c r="B51">
        <v>500</v>
      </c>
      <c r="C51">
        <v>5</v>
      </c>
      <c r="D51">
        <v>997</v>
      </c>
      <c r="E51">
        <v>992</v>
      </c>
      <c r="F51">
        <v>996</v>
      </c>
      <c r="G51" t="s">
        <v>667</v>
      </c>
      <c r="H51" t="s">
        <v>668</v>
      </c>
      <c r="I51">
        <f t="shared" si="1"/>
        <v>1.2255907058715799E-2</v>
      </c>
    </row>
    <row r="57" spans="1:9" x14ac:dyDescent="0.3">
      <c r="A57" t="s">
        <v>875</v>
      </c>
      <c r="B57">
        <f>AVERAGE(results_6_fusionné[tps_nb])</f>
        <v>2.5479764842986992</v>
      </c>
    </row>
    <row r="58" spans="1:9" x14ac:dyDescent="0.3">
      <c r="A58" t="s">
        <v>874</v>
      </c>
      <c r="B58">
        <f>MAX(results_6_fusionné[Total profit])</f>
        <v>1005</v>
      </c>
    </row>
    <row r="60" spans="1:9" x14ac:dyDescent="0.3">
      <c r="A60" s="1" t="s">
        <v>870</v>
      </c>
      <c r="B60" t="s">
        <v>873</v>
      </c>
    </row>
    <row r="61" spans="1:9" x14ac:dyDescent="0.3">
      <c r="A61" s="2">
        <v>10</v>
      </c>
      <c r="B61" s="3">
        <v>999</v>
      </c>
    </row>
    <row r="62" spans="1:9" x14ac:dyDescent="0.3">
      <c r="A62" s="2">
        <v>100</v>
      </c>
      <c r="B62" s="3">
        <v>999</v>
      </c>
    </row>
    <row r="63" spans="1:9" x14ac:dyDescent="0.3">
      <c r="A63" s="2">
        <v>500</v>
      </c>
      <c r="B63" s="3">
        <v>997.8</v>
      </c>
    </row>
    <row r="64" spans="1:9" x14ac:dyDescent="0.3">
      <c r="A64" s="2">
        <v>1000</v>
      </c>
      <c r="B64" s="3">
        <v>1002</v>
      </c>
    </row>
    <row r="65" spans="1:2" x14ac:dyDescent="0.3">
      <c r="A65" s="2">
        <v>5000</v>
      </c>
      <c r="B65" s="3">
        <v>999.6</v>
      </c>
    </row>
    <row r="66" spans="1:2" x14ac:dyDescent="0.3">
      <c r="A66" s="2">
        <v>10000</v>
      </c>
      <c r="B66" s="3">
        <v>1000.2</v>
      </c>
    </row>
    <row r="67" spans="1:2" x14ac:dyDescent="0.3">
      <c r="A67" s="2">
        <v>50000</v>
      </c>
      <c r="B67" s="3">
        <v>998.4</v>
      </c>
    </row>
    <row r="68" spans="1:2" x14ac:dyDescent="0.3">
      <c r="A68" s="2">
        <v>100000</v>
      </c>
      <c r="B68" s="3">
        <v>999</v>
      </c>
    </row>
    <row r="69" spans="1:2" x14ac:dyDescent="0.3">
      <c r="A69" s="2">
        <v>500000</v>
      </c>
      <c r="B69" s="3">
        <v>1000.2</v>
      </c>
    </row>
    <row r="70" spans="1:2" x14ac:dyDescent="0.3">
      <c r="A70" s="2">
        <v>1000000</v>
      </c>
      <c r="B70" s="3">
        <v>1000.8</v>
      </c>
    </row>
    <row r="71" spans="1:2" x14ac:dyDescent="0.3">
      <c r="A71" s="2" t="s">
        <v>871</v>
      </c>
      <c r="B71" s="3">
        <v>999.6</v>
      </c>
    </row>
    <row r="77" spans="1:2" x14ac:dyDescent="0.3">
      <c r="A77" s="1" t="s">
        <v>870</v>
      </c>
      <c r="B77" t="s">
        <v>873</v>
      </c>
    </row>
    <row r="78" spans="1:2" x14ac:dyDescent="0.3">
      <c r="A78" s="2">
        <v>1</v>
      </c>
      <c r="B78" s="3">
        <v>999</v>
      </c>
    </row>
    <row r="79" spans="1:2" x14ac:dyDescent="0.3">
      <c r="A79" s="2">
        <v>5</v>
      </c>
      <c r="B79" s="3">
        <v>999.3</v>
      </c>
    </row>
    <row r="80" spans="1:2" x14ac:dyDescent="0.3">
      <c r="A80" s="2">
        <v>10</v>
      </c>
      <c r="B80" s="3">
        <v>1000.8</v>
      </c>
    </row>
    <row r="81" spans="1:2" x14ac:dyDescent="0.3">
      <c r="A81" s="2">
        <v>15</v>
      </c>
      <c r="B81" s="3">
        <v>998.4</v>
      </c>
    </row>
    <row r="82" spans="1:2" x14ac:dyDescent="0.3">
      <c r="A82" s="2">
        <v>20</v>
      </c>
      <c r="B82" s="3">
        <v>1000.5</v>
      </c>
    </row>
    <row r="83" spans="1:2" x14ac:dyDescent="0.3">
      <c r="A83" s="2" t="s">
        <v>871</v>
      </c>
      <c r="B83" s="3">
        <v>999.6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E5B32-B055-4AC9-BE7A-DB671B0DE3F4}">
  <dimension ref="A1:I83"/>
  <sheetViews>
    <sheetView topLeftCell="A74" workbookViewId="0">
      <selection activeCell="B58" sqref="B58"/>
    </sheetView>
  </sheetViews>
  <sheetFormatPr baseColWidth="10" defaultRowHeight="14.4" x14ac:dyDescent="0.3"/>
  <cols>
    <col min="1" max="1" width="19.5546875" bestFit="1" customWidth="1"/>
    <col min="2" max="2" width="20.21875" bestFit="1" customWidth="1"/>
    <col min="3" max="3" width="15.77734375" bestFit="1" customWidth="1"/>
    <col min="4" max="4" width="11.6640625" bestFit="1" customWidth="1"/>
    <col min="5" max="5" width="13.109375" bestFit="1" customWidth="1"/>
    <col min="6" max="6" width="12.21875" bestFit="1" customWidth="1"/>
    <col min="7" max="7" width="18.88671875" bestFit="1" customWidth="1"/>
    <col min="8" max="8" width="61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876</v>
      </c>
    </row>
    <row r="2" spans="1:9" x14ac:dyDescent="0.3">
      <c r="A2" t="s">
        <v>669</v>
      </c>
      <c r="B2">
        <v>1000000</v>
      </c>
      <c r="C2">
        <v>1</v>
      </c>
      <c r="D2">
        <v>4816</v>
      </c>
      <c r="E2">
        <v>4816</v>
      </c>
      <c r="F2">
        <v>4824</v>
      </c>
      <c r="G2" t="s">
        <v>670</v>
      </c>
      <c r="H2" t="s">
        <v>671</v>
      </c>
      <c r="I2">
        <f t="shared" ref="I2:I33" si="0">IF(ISNUMBER(G2), G2, SUBSTITUTE(G2, ".", ",")*1)</f>
        <v>203.324656486511</v>
      </c>
    </row>
    <row r="3" spans="1:9" x14ac:dyDescent="0.3">
      <c r="A3" t="s">
        <v>669</v>
      </c>
      <c r="B3">
        <v>1000000</v>
      </c>
      <c r="C3">
        <v>10</v>
      </c>
      <c r="D3">
        <v>4816</v>
      </c>
      <c r="E3">
        <v>4816</v>
      </c>
      <c r="F3">
        <v>4830</v>
      </c>
      <c r="G3" t="s">
        <v>672</v>
      </c>
      <c r="H3" t="s">
        <v>673</v>
      </c>
      <c r="I3">
        <f t="shared" si="0"/>
        <v>290.26367855071999</v>
      </c>
    </row>
    <row r="4" spans="1:9" x14ac:dyDescent="0.3">
      <c r="A4" t="s">
        <v>669</v>
      </c>
      <c r="B4">
        <v>1000000</v>
      </c>
      <c r="C4">
        <v>15</v>
      </c>
      <c r="D4">
        <v>4816</v>
      </c>
      <c r="E4">
        <v>4816</v>
      </c>
      <c r="F4">
        <v>4833</v>
      </c>
      <c r="G4" t="s">
        <v>674</v>
      </c>
      <c r="H4" t="s">
        <v>675</v>
      </c>
      <c r="I4">
        <f t="shared" si="0"/>
        <v>307.62469387054398</v>
      </c>
    </row>
    <row r="5" spans="1:9" x14ac:dyDescent="0.3">
      <c r="A5" t="s">
        <v>669</v>
      </c>
      <c r="B5">
        <v>1000000</v>
      </c>
      <c r="C5">
        <v>20</v>
      </c>
      <c r="D5">
        <v>4816</v>
      </c>
      <c r="E5">
        <v>4816</v>
      </c>
      <c r="F5">
        <v>4836</v>
      </c>
      <c r="G5" t="s">
        <v>676</v>
      </c>
      <c r="H5" t="s">
        <v>677</v>
      </c>
      <c r="I5">
        <f t="shared" si="0"/>
        <v>544.38629889488197</v>
      </c>
    </row>
    <row r="6" spans="1:9" x14ac:dyDescent="0.3">
      <c r="A6" t="s">
        <v>669</v>
      </c>
      <c r="B6">
        <v>1000000</v>
      </c>
      <c r="C6">
        <v>5</v>
      </c>
      <c r="D6">
        <v>4816</v>
      </c>
      <c r="E6">
        <v>4816</v>
      </c>
      <c r="F6">
        <v>4830</v>
      </c>
      <c r="G6" t="s">
        <v>678</v>
      </c>
      <c r="H6" t="s">
        <v>679</v>
      </c>
      <c r="I6">
        <f t="shared" si="0"/>
        <v>203.84227848052899</v>
      </c>
    </row>
    <row r="7" spans="1:9" x14ac:dyDescent="0.3">
      <c r="A7" t="s">
        <v>669</v>
      </c>
      <c r="B7">
        <v>100000</v>
      </c>
      <c r="C7">
        <v>1</v>
      </c>
      <c r="D7">
        <v>4816</v>
      </c>
      <c r="E7">
        <v>4816</v>
      </c>
      <c r="F7">
        <v>4833</v>
      </c>
      <c r="G7" t="s">
        <v>680</v>
      </c>
      <c r="H7" t="s">
        <v>681</v>
      </c>
      <c r="I7">
        <f t="shared" si="0"/>
        <v>27.548574686050401</v>
      </c>
    </row>
    <row r="8" spans="1:9" x14ac:dyDescent="0.3">
      <c r="A8" t="s">
        <v>669</v>
      </c>
      <c r="B8">
        <v>100000</v>
      </c>
      <c r="C8">
        <v>10</v>
      </c>
      <c r="D8">
        <v>4816</v>
      </c>
      <c r="E8">
        <v>4816</v>
      </c>
      <c r="F8">
        <v>4830</v>
      </c>
      <c r="G8" t="s">
        <v>682</v>
      </c>
      <c r="H8" t="s">
        <v>683</v>
      </c>
      <c r="I8">
        <f t="shared" si="0"/>
        <v>18.858500719070399</v>
      </c>
    </row>
    <row r="9" spans="1:9" x14ac:dyDescent="0.3">
      <c r="A9" t="s">
        <v>669</v>
      </c>
      <c r="B9">
        <v>100000</v>
      </c>
      <c r="C9">
        <v>15</v>
      </c>
      <c r="D9">
        <v>4816</v>
      </c>
      <c r="E9">
        <v>4816</v>
      </c>
      <c r="F9">
        <v>4830</v>
      </c>
      <c r="G9" t="s">
        <v>684</v>
      </c>
      <c r="H9" t="s">
        <v>685</v>
      </c>
      <c r="I9">
        <f t="shared" si="0"/>
        <v>19.863989114761299</v>
      </c>
    </row>
    <row r="10" spans="1:9" x14ac:dyDescent="0.3">
      <c r="A10" t="s">
        <v>669</v>
      </c>
      <c r="B10">
        <v>100000</v>
      </c>
      <c r="C10">
        <v>20</v>
      </c>
      <c r="D10">
        <v>4816</v>
      </c>
      <c r="E10">
        <v>4816</v>
      </c>
      <c r="F10">
        <v>4830</v>
      </c>
      <c r="G10" t="s">
        <v>686</v>
      </c>
      <c r="H10" t="s">
        <v>687</v>
      </c>
      <c r="I10">
        <f t="shared" si="0"/>
        <v>19.969793319702099</v>
      </c>
    </row>
    <row r="11" spans="1:9" x14ac:dyDescent="0.3">
      <c r="A11" t="s">
        <v>669</v>
      </c>
      <c r="B11">
        <v>100000</v>
      </c>
      <c r="C11">
        <v>5</v>
      </c>
      <c r="D11">
        <v>4816</v>
      </c>
      <c r="E11">
        <v>4816</v>
      </c>
      <c r="F11">
        <v>4830</v>
      </c>
      <c r="G11" t="s">
        <v>688</v>
      </c>
      <c r="H11" t="s">
        <v>689</v>
      </c>
      <c r="I11">
        <f t="shared" si="0"/>
        <v>21.1581242084503</v>
      </c>
    </row>
    <row r="12" spans="1:9" x14ac:dyDescent="0.3">
      <c r="A12" t="s">
        <v>669</v>
      </c>
      <c r="B12">
        <v>10000</v>
      </c>
      <c r="C12">
        <v>1</v>
      </c>
      <c r="D12">
        <v>4816</v>
      </c>
      <c r="E12">
        <v>4816</v>
      </c>
      <c r="F12">
        <v>4833</v>
      </c>
      <c r="G12" t="s">
        <v>690</v>
      </c>
      <c r="H12" t="s">
        <v>691</v>
      </c>
      <c r="I12">
        <f t="shared" si="0"/>
        <v>1.90394139289856</v>
      </c>
    </row>
    <row r="13" spans="1:9" x14ac:dyDescent="0.3">
      <c r="A13" t="s">
        <v>669</v>
      </c>
      <c r="B13">
        <v>10000</v>
      </c>
      <c r="C13">
        <v>10</v>
      </c>
      <c r="D13">
        <v>4816</v>
      </c>
      <c r="E13">
        <v>4816</v>
      </c>
      <c r="F13">
        <v>4830</v>
      </c>
      <c r="G13" t="s">
        <v>692</v>
      </c>
      <c r="H13" t="s">
        <v>693</v>
      </c>
      <c r="I13">
        <f t="shared" si="0"/>
        <v>2.1850037574768</v>
      </c>
    </row>
    <row r="14" spans="1:9" x14ac:dyDescent="0.3">
      <c r="A14" t="s">
        <v>669</v>
      </c>
      <c r="B14">
        <v>10000</v>
      </c>
      <c r="C14">
        <v>15</v>
      </c>
      <c r="D14">
        <v>4816</v>
      </c>
      <c r="E14">
        <v>4816</v>
      </c>
      <c r="F14">
        <v>4830</v>
      </c>
      <c r="G14" t="s">
        <v>694</v>
      </c>
      <c r="H14" t="s">
        <v>695</v>
      </c>
      <c r="I14">
        <f t="shared" si="0"/>
        <v>1.9113016128539999</v>
      </c>
    </row>
    <row r="15" spans="1:9" x14ac:dyDescent="0.3">
      <c r="A15" t="s">
        <v>669</v>
      </c>
      <c r="B15">
        <v>10000</v>
      </c>
      <c r="C15">
        <v>20</v>
      </c>
      <c r="D15">
        <v>4816</v>
      </c>
      <c r="E15">
        <v>4815</v>
      </c>
      <c r="F15">
        <v>4833</v>
      </c>
      <c r="G15" t="s">
        <v>696</v>
      </c>
      <c r="H15" t="s">
        <v>697</v>
      </c>
      <c r="I15">
        <f t="shared" si="0"/>
        <v>1.9766163825988701</v>
      </c>
    </row>
    <row r="16" spans="1:9" x14ac:dyDescent="0.3">
      <c r="A16" t="s">
        <v>669</v>
      </c>
      <c r="B16">
        <v>10000</v>
      </c>
      <c r="C16">
        <v>5</v>
      </c>
      <c r="D16">
        <v>4816</v>
      </c>
      <c r="E16">
        <v>4816</v>
      </c>
      <c r="F16">
        <v>4833</v>
      </c>
      <c r="G16" t="s">
        <v>698</v>
      </c>
      <c r="H16" t="s">
        <v>699</v>
      </c>
      <c r="I16">
        <f t="shared" si="0"/>
        <v>1.94787144660949</v>
      </c>
    </row>
    <row r="17" spans="1:9" x14ac:dyDescent="0.3">
      <c r="A17" t="s">
        <v>669</v>
      </c>
      <c r="B17">
        <v>1000</v>
      </c>
      <c r="C17">
        <v>1</v>
      </c>
      <c r="D17">
        <v>4816</v>
      </c>
      <c r="E17">
        <v>4816</v>
      </c>
      <c r="F17">
        <v>4833</v>
      </c>
      <c r="G17" t="s">
        <v>700</v>
      </c>
      <c r="H17" t="s">
        <v>701</v>
      </c>
      <c r="I17">
        <f t="shared" si="0"/>
        <v>0.19533586502075101</v>
      </c>
    </row>
    <row r="18" spans="1:9" x14ac:dyDescent="0.3">
      <c r="A18" t="s">
        <v>669</v>
      </c>
      <c r="B18">
        <v>1000</v>
      </c>
      <c r="C18">
        <v>10</v>
      </c>
      <c r="D18">
        <v>4816</v>
      </c>
      <c r="E18">
        <v>4816</v>
      </c>
      <c r="F18">
        <v>4827</v>
      </c>
      <c r="G18" t="s">
        <v>702</v>
      </c>
      <c r="H18" t="s">
        <v>703</v>
      </c>
      <c r="I18">
        <f t="shared" si="0"/>
        <v>0.205127477645874</v>
      </c>
    </row>
    <row r="19" spans="1:9" x14ac:dyDescent="0.3">
      <c r="A19" t="s">
        <v>669</v>
      </c>
      <c r="B19">
        <v>1000</v>
      </c>
      <c r="C19">
        <v>15</v>
      </c>
      <c r="D19">
        <v>4816</v>
      </c>
      <c r="E19">
        <v>4816</v>
      </c>
      <c r="F19">
        <v>4839</v>
      </c>
      <c r="G19" t="s">
        <v>704</v>
      </c>
      <c r="H19" t="s">
        <v>705</v>
      </c>
      <c r="I19">
        <f t="shared" si="0"/>
        <v>0.21878504753112701</v>
      </c>
    </row>
    <row r="20" spans="1:9" x14ac:dyDescent="0.3">
      <c r="A20" t="s">
        <v>669</v>
      </c>
      <c r="B20">
        <v>1000</v>
      </c>
      <c r="C20">
        <v>20</v>
      </c>
      <c r="D20">
        <v>4816</v>
      </c>
      <c r="E20">
        <v>4816</v>
      </c>
      <c r="F20">
        <v>4830</v>
      </c>
      <c r="G20" t="s">
        <v>706</v>
      </c>
      <c r="H20" t="s">
        <v>707</v>
      </c>
      <c r="I20">
        <f t="shared" si="0"/>
        <v>0.200316667556762</v>
      </c>
    </row>
    <row r="21" spans="1:9" x14ac:dyDescent="0.3">
      <c r="A21" t="s">
        <v>669</v>
      </c>
      <c r="B21">
        <v>1000</v>
      </c>
      <c r="C21">
        <v>5</v>
      </c>
      <c r="D21">
        <v>4816</v>
      </c>
      <c r="E21">
        <v>4816</v>
      </c>
      <c r="F21">
        <v>4827</v>
      </c>
      <c r="G21" t="s">
        <v>708</v>
      </c>
      <c r="H21" t="s">
        <v>709</v>
      </c>
      <c r="I21">
        <f t="shared" si="0"/>
        <v>0.21427106857299799</v>
      </c>
    </row>
    <row r="22" spans="1:9" x14ac:dyDescent="0.3">
      <c r="A22" t="s">
        <v>669</v>
      </c>
      <c r="B22">
        <v>100</v>
      </c>
      <c r="C22">
        <v>1</v>
      </c>
      <c r="D22">
        <v>4816</v>
      </c>
      <c r="E22">
        <v>4816</v>
      </c>
      <c r="F22">
        <v>4824</v>
      </c>
      <c r="G22" t="s">
        <v>710</v>
      </c>
      <c r="H22" t="s">
        <v>711</v>
      </c>
      <c r="I22">
        <f t="shared" si="0"/>
        <v>1.70004367828369E-2</v>
      </c>
    </row>
    <row r="23" spans="1:9" x14ac:dyDescent="0.3">
      <c r="A23" t="s">
        <v>669</v>
      </c>
      <c r="B23">
        <v>100</v>
      </c>
      <c r="C23">
        <v>10</v>
      </c>
      <c r="D23">
        <v>4816</v>
      </c>
      <c r="E23">
        <v>4816</v>
      </c>
      <c r="F23">
        <v>4833</v>
      </c>
      <c r="G23" t="s">
        <v>712</v>
      </c>
      <c r="H23" t="s">
        <v>713</v>
      </c>
      <c r="I23">
        <f t="shared" si="0"/>
        <v>1.9998311996459898E-2</v>
      </c>
    </row>
    <row r="24" spans="1:9" x14ac:dyDescent="0.3">
      <c r="A24" t="s">
        <v>669</v>
      </c>
      <c r="B24">
        <v>100</v>
      </c>
      <c r="C24">
        <v>15</v>
      </c>
      <c r="D24">
        <v>4816</v>
      </c>
      <c r="E24">
        <v>4816</v>
      </c>
      <c r="F24">
        <v>4839</v>
      </c>
      <c r="G24" t="s">
        <v>714</v>
      </c>
      <c r="H24" t="s">
        <v>715</v>
      </c>
      <c r="I24">
        <f t="shared" si="0"/>
        <v>2.1432161331176699E-2</v>
      </c>
    </row>
    <row r="25" spans="1:9" x14ac:dyDescent="0.3">
      <c r="A25" t="s">
        <v>669</v>
      </c>
      <c r="B25">
        <v>100</v>
      </c>
      <c r="C25">
        <v>20</v>
      </c>
      <c r="D25">
        <v>4816</v>
      </c>
      <c r="E25">
        <v>4816</v>
      </c>
      <c r="F25">
        <v>4839</v>
      </c>
      <c r="G25" t="s">
        <v>716</v>
      </c>
      <c r="H25" t="s">
        <v>717</v>
      </c>
      <c r="I25">
        <f t="shared" si="0"/>
        <v>2.0097255706787099E-2</v>
      </c>
    </row>
    <row r="26" spans="1:9" x14ac:dyDescent="0.3">
      <c r="A26" t="s">
        <v>669</v>
      </c>
      <c r="B26">
        <v>100</v>
      </c>
      <c r="C26">
        <v>5</v>
      </c>
      <c r="D26">
        <v>4816</v>
      </c>
      <c r="E26">
        <v>4816</v>
      </c>
      <c r="F26">
        <v>4827</v>
      </c>
      <c r="G26" t="s">
        <v>718</v>
      </c>
      <c r="H26" t="s">
        <v>719</v>
      </c>
      <c r="I26">
        <f t="shared" si="0"/>
        <v>2.43935585021972E-2</v>
      </c>
    </row>
    <row r="27" spans="1:9" x14ac:dyDescent="0.3">
      <c r="A27" t="s">
        <v>669</v>
      </c>
      <c r="B27">
        <v>10</v>
      </c>
      <c r="C27">
        <v>1</v>
      </c>
      <c r="D27">
        <v>4816</v>
      </c>
      <c r="E27">
        <v>4816</v>
      </c>
      <c r="F27">
        <v>4827</v>
      </c>
      <c r="G27" t="s">
        <v>720</v>
      </c>
      <c r="H27" t="s">
        <v>721</v>
      </c>
      <c r="I27">
        <f t="shared" si="0"/>
        <v>1.9979476928710001E-3</v>
      </c>
    </row>
    <row r="28" spans="1:9" x14ac:dyDescent="0.3">
      <c r="A28" t="s">
        <v>669</v>
      </c>
      <c r="B28">
        <v>10</v>
      </c>
      <c r="C28">
        <v>10</v>
      </c>
      <c r="D28">
        <v>4816</v>
      </c>
      <c r="E28">
        <v>4816</v>
      </c>
      <c r="F28">
        <v>4833</v>
      </c>
      <c r="G28" t="s">
        <v>722</v>
      </c>
      <c r="H28" t="s">
        <v>723</v>
      </c>
      <c r="I28">
        <f t="shared" si="0"/>
        <v>3.0016899108885999E-3</v>
      </c>
    </row>
    <row r="29" spans="1:9" x14ac:dyDescent="0.3">
      <c r="A29" t="s">
        <v>669</v>
      </c>
      <c r="B29">
        <v>10</v>
      </c>
      <c r="C29">
        <v>15</v>
      </c>
      <c r="D29">
        <v>4816</v>
      </c>
      <c r="E29">
        <v>4816</v>
      </c>
      <c r="F29">
        <v>4833</v>
      </c>
      <c r="G29" t="s">
        <v>724</v>
      </c>
      <c r="H29" t="s">
        <v>725</v>
      </c>
      <c r="I29">
        <f t="shared" si="0"/>
        <v>2.0327568054199002E-3</v>
      </c>
    </row>
    <row r="30" spans="1:9" x14ac:dyDescent="0.3">
      <c r="A30" t="s">
        <v>669</v>
      </c>
      <c r="B30">
        <v>10</v>
      </c>
      <c r="C30">
        <v>20</v>
      </c>
      <c r="D30">
        <v>4816</v>
      </c>
      <c r="E30">
        <v>4816</v>
      </c>
      <c r="F30">
        <v>4830</v>
      </c>
      <c r="G30" t="s">
        <v>442</v>
      </c>
      <c r="H30" t="s">
        <v>726</v>
      </c>
      <c r="I30">
        <f t="shared" si="0"/>
        <v>2.030611038208E-3</v>
      </c>
    </row>
    <row r="31" spans="1:9" x14ac:dyDescent="0.3">
      <c r="A31" t="s">
        <v>669</v>
      </c>
      <c r="B31">
        <v>10</v>
      </c>
      <c r="C31">
        <v>5</v>
      </c>
      <c r="D31">
        <v>4816</v>
      </c>
      <c r="E31">
        <v>4816</v>
      </c>
      <c r="F31">
        <v>4833</v>
      </c>
      <c r="G31" t="s">
        <v>727</v>
      </c>
      <c r="H31" t="s">
        <v>728</v>
      </c>
      <c r="I31">
        <f t="shared" si="0"/>
        <v>2.9993057250975999E-3</v>
      </c>
    </row>
    <row r="32" spans="1:9" x14ac:dyDescent="0.3">
      <c r="A32" t="s">
        <v>669</v>
      </c>
      <c r="B32">
        <v>500000</v>
      </c>
      <c r="C32">
        <v>1</v>
      </c>
      <c r="D32">
        <v>4816</v>
      </c>
      <c r="E32">
        <v>4816</v>
      </c>
      <c r="F32">
        <v>4833</v>
      </c>
      <c r="G32" t="s">
        <v>729</v>
      </c>
      <c r="H32" t="s">
        <v>730</v>
      </c>
      <c r="I32">
        <f t="shared" si="0"/>
        <v>96.671633243560805</v>
      </c>
    </row>
    <row r="33" spans="1:9" x14ac:dyDescent="0.3">
      <c r="A33" t="s">
        <v>669</v>
      </c>
      <c r="B33">
        <v>500000</v>
      </c>
      <c r="C33">
        <v>10</v>
      </c>
      <c r="D33">
        <v>4816</v>
      </c>
      <c r="E33">
        <v>4816</v>
      </c>
      <c r="F33">
        <v>4827</v>
      </c>
      <c r="G33" t="s">
        <v>731</v>
      </c>
      <c r="H33" t="s">
        <v>732</v>
      </c>
      <c r="I33">
        <f t="shared" si="0"/>
        <v>127.268718957901</v>
      </c>
    </row>
    <row r="34" spans="1:9" x14ac:dyDescent="0.3">
      <c r="A34" t="s">
        <v>669</v>
      </c>
      <c r="B34">
        <v>500000</v>
      </c>
      <c r="C34">
        <v>15</v>
      </c>
      <c r="D34">
        <v>4816</v>
      </c>
      <c r="E34">
        <v>4816</v>
      </c>
      <c r="F34">
        <v>4827</v>
      </c>
      <c r="G34" t="s">
        <v>733</v>
      </c>
      <c r="H34" t="s">
        <v>734</v>
      </c>
      <c r="I34">
        <f t="shared" ref="I34:I51" si="1">IF(ISNUMBER(G34), G34, SUBSTITUTE(G34, ".", ",")*1)</f>
        <v>125.497592687606</v>
      </c>
    </row>
    <row r="35" spans="1:9" x14ac:dyDescent="0.3">
      <c r="A35" t="s">
        <v>669</v>
      </c>
      <c r="B35">
        <v>500000</v>
      </c>
      <c r="C35">
        <v>20</v>
      </c>
      <c r="D35">
        <v>4816</v>
      </c>
      <c r="E35">
        <v>4816</v>
      </c>
      <c r="F35">
        <v>4824</v>
      </c>
      <c r="G35" t="s">
        <v>735</v>
      </c>
      <c r="H35" t="s">
        <v>736</v>
      </c>
      <c r="I35">
        <f t="shared" si="1"/>
        <v>107.22024965286199</v>
      </c>
    </row>
    <row r="36" spans="1:9" x14ac:dyDescent="0.3">
      <c r="A36" t="s">
        <v>669</v>
      </c>
      <c r="B36">
        <v>500000</v>
      </c>
      <c r="C36">
        <v>5</v>
      </c>
      <c r="D36">
        <v>4816</v>
      </c>
      <c r="E36">
        <v>4816</v>
      </c>
      <c r="F36">
        <v>4830</v>
      </c>
      <c r="G36" t="s">
        <v>737</v>
      </c>
      <c r="H36" t="s">
        <v>738</v>
      </c>
      <c r="I36">
        <f t="shared" si="1"/>
        <v>96.605431079864502</v>
      </c>
    </row>
    <row r="37" spans="1:9" x14ac:dyDescent="0.3">
      <c r="A37" t="s">
        <v>669</v>
      </c>
      <c r="B37">
        <v>50000</v>
      </c>
      <c r="C37">
        <v>1</v>
      </c>
      <c r="D37">
        <v>4816</v>
      </c>
      <c r="E37">
        <v>4815</v>
      </c>
      <c r="F37">
        <v>4830</v>
      </c>
      <c r="G37" t="s">
        <v>739</v>
      </c>
      <c r="H37" t="s">
        <v>740</v>
      </c>
      <c r="I37">
        <f t="shared" si="1"/>
        <v>9.5626378059387207</v>
      </c>
    </row>
    <row r="38" spans="1:9" x14ac:dyDescent="0.3">
      <c r="A38" t="s">
        <v>669</v>
      </c>
      <c r="B38">
        <v>50000</v>
      </c>
      <c r="C38">
        <v>10</v>
      </c>
      <c r="D38">
        <v>4816</v>
      </c>
      <c r="E38">
        <v>4816</v>
      </c>
      <c r="F38">
        <v>4827</v>
      </c>
      <c r="G38" t="s">
        <v>741</v>
      </c>
      <c r="H38" t="s">
        <v>742</v>
      </c>
      <c r="I38">
        <f t="shared" si="1"/>
        <v>12.0631084442138</v>
      </c>
    </row>
    <row r="39" spans="1:9" x14ac:dyDescent="0.3">
      <c r="A39" t="s">
        <v>669</v>
      </c>
      <c r="B39">
        <v>50000</v>
      </c>
      <c r="C39">
        <v>15</v>
      </c>
      <c r="D39">
        <v>4816</v>
      </c>
      <c r="E39">
        <v>4816</v>
      </c>
      <c r="F39">
        <v>4830</v>
      </c>
      <c r="G39" t="s">
        <v>743</v>
      </c>
      <c r="H39" t="s">
        <v>744</v>
      </c>
      <c r="I39">
        <f t="shared" si="1"/>
        <v>9.3572957515716499</v>
      </c>
    </row>
    <row r="40" spans="1:9" x14ac:dyDescent="0.3">
      <c r="A40" t="s">
        <v>669</v>
      </c>
      <c r="B40">
        <v>50000</v>
      </c>
      <c r="C40">
        <v>20</v>
      </c>
      <c r="D40">
        <v>4816</v>
      </c>
      <c r="E40">
        <v>4815</v>
      </c>
      <c r="F40">
        <v>4824</v>
      </c>
      <c r="G40" t="s">
        <v>745</v>
      </c>
      <c r="H40" t="s">
        <v>746</v>
      </c>
      <c r="I40">
        <f t="shared" si="1"/>
        <v>11.4073655605316</v>
      </c>
    </row>
    <row r="41" spans="1:9" x14ac:dyDescent="0.3">
      <c r="A41" t="s">
        <v>669</v>
      </c>
      <c r="B41">
        <v>50000</v>
      </c>
      <c r="C41">
        <v>5</v>
      </c>
      <c r="D41">
        <v>4816</v>
      </c>
      <c r="E41">
        <v>4816</v>
      </c>
      <c r="F41">
        <v>4830</v>
      </c>
      <c r="G41" t="s">
        <v>747</v>
      </c>
      <c r="H41" t="s">
        <v>748</v>
      </c>
      <c r="I41">
        <f t="shared" si="1"/>
        <v>11.105720520019499</v>
      </c>
    </row>
    <row r="42" spans="1:9" x14ac:dyDescent="0.3">
      <c r="A42" t="s">
        <v>669</v>
      </c>
      <c r="B42">
        <v>5000</v>
      </c>
      <c r="C42">
        <v>1</v>
      </c>
      <c r="D42">
        <v>4816</v>
      </c>
      <c r="E42">
        <v>4816</v>
      </c>
      <c r="F42">
        <v>4827</v>
      </c>
      <c r="G42" t="s">
        <v>749</v>
      </c>
      <c r="H42" t="s">
        <v>750</v>
      </c>
      <c r="I42">
        <f t="shared" si="1"/>
        <v>0.86925482749938898</v>
      </c>
    </row>
    <row r="43" spans="1:9" x14ac:dyDescent="0.3">
      <c r="A43" t="s">
        <v>669</v>
      </c>
      <c r="B43">
        <v>5000</v>
      </c>
      <c r="C43">
        <v>10</v>
      </c>
      <c r="D43">
        <v>4816</v>
      </c>
      <c r="E43">
        <v>4815</v>
      </c>
      <c r="F43">
        <v>4833</v>
      </c>
      <c r="G43" t="s">
        <v>751</v>
      </c>
      <c r="H43" t="s">
        <v>752</v>
      </c>
      <c r="I43">
        <f t="shared" si="1"/>
        <v>1.02118015289306</v>
      </c>
    </row>
    <row r="44" spans="1:9" x14ac:dyDescent="0.3">
      <c r="A44" t="s">
        <v>669</v>
      </c>
      <c r="B44">
        <v>5000</v>
      </c>
      <c r="C44">
        <v>15</v>
      </c>
      <c r="D44">
        <v>4816</v>
      </c>
      <c r="E44">
        <v>4816</v>
      </c>
      <c r="F44">
        <v>4830</v>
      </c>
      <c r="G44" t="s">
        <v>753</v>
      </c>
      <c r="H44" t="s">
        <v>754</v>
      </c>
      <c r="I44">
        <f t="shared" si="1"/>
        <v>1.16977167129516</v>
      </c>
    </row>
    <row r="45" spans="1:9" x14ac:dyDescent="0.3">
      <c r="A45" t="s">
        <v>669</v>
      </c>
      <c r="B45">
        <v>5000</v>
      </c>
      <c r="C45">
        <v>20</v>
      </c>
      <c r="D45">
        <v>4816</v>
      </c>
      <c r="E45">
        <v>4816</v>
      </c>
      <c r="F45">
        <v>4830</v>
      </c>
      <c r="G45" t="s">
        <v>755</v>
      </c>
      <c r="H45" t="s">
        <v>756</v>
      </c>
      <c r="I45">
        <f t="shared" si="1"/>
        <v>1.1809504032135001</v>
      </c>
    </row>
    <row r="46" spans="1:9" x14ac:dyDescent="0.3">
      <c r="A46" t="s">
        <v>669</v>
      </c>
      <c r="B46">
        <v>5000</v>
      </c>
      <c r="C46">
        <v>5</v>
      </c>
      <c r="D46">
        <v>4816</v>
      </c>
      <c r="E46">
        <v>4815</v>
      </c>
      <c r="F46">
        <v>4830</v>
      </c>
      <c r="G46" t="s">
        <v>757</v>
      </c>
      <c r="H46" t="s">
        <v>758</v>
      </c>
      <c r="I46">
        <f t="shared" si="1"/>
        <v>0.97318696975707997</v>
      </c>
    </row>
    <row r="47" spans="1:9" x14ac:dyDescent="0.3">
      <c r="A47" t="s">
        <v>669</v>
      </c>
      <c r="B47">
        <v>500</v>
      </c>
      <c r="C47">
        <v>1</v>
      </c>
      <c r="D47">
        <v>4816</v>
      </c>
      <c r="E47">
        <v>4815</v>
      </c>
      <c r="F47">
        <v>4830</v>
      </c>
      <c r="G47" t="s">
        <v>759</v>
      </c>
      <c r="H47" t="s">
        <v>760</v>
      </c>
      <c r="I47">
        <f t="shared" si="1"/>
        <v>9.1514587402343694E-2</v>
      </c>
    </row>
    <row r="48" spans="1:9" x14ac:dyDescent="0.3">
      <c r="A48" t="s">
        <v>669</v>
      </c>
      <c r="B48">
        <v>500</v>
      </c>
      <c r="C48">
        <v>10</v>
      </c>
      <c r="D48">
        <v>4816</v>
      </c>
      <c r="E48">
        <v>4816</v>
      </c>
      <c r="F48">
        <v>4821</v>
      </c>
      <c r="G48" t="s">
        <v>761</v>
      </c>
      <c r="H48" t="s">
        <v>762</v>
      </c>
      <c r="I48">
        <f t="shared" si="1"/>
        <v>0.123363256454467</v>
      </c>
    </row>
    <row r="49" spans="1:9" x14ac:dyDescent="0.3">
      <c r="A49" t="s">
        <v>669</v>
      </c>
      <c r="B49">
        <v>500</v>
      </c>
      <c r="C49">
        <v>15</v>
      </c>
      <c r="D49">
        <v>4816</v>
      </c>
      <c r="E49">
        <v>4816</v>
      </c>
      <c r="F49">
        <v>4827</v>
      </c>
      <c r="G49" t="s">
        <v>763</v>
      </c>
      <c r="H49" t="s">
        <v>764</v>
      </c>
      <c r="I49">
        <f t="shared" si="1"/>
        <v>0.116843461990356</v>
      </c>
    </row>
    <row r="50" spans="1:9" x14ac:dyDescent="0.3">
      <c r="A50" t="s">
        <v>669</v>
      </c>
      <c r="B50">
        <v>500</v>
      </c>
      <c r="C50">
        <v>20</v>
      </c>
      <c r="D50">
        <v>4816</v>
      </c>
      <c r="E50">
        <v>4816</v>
      </c>
      <c r="F50">
        <v>4827</v>
      </c>
      <c r="G50" t="s">
        <v>765</v>
      </c>
      <c r="H50" t="s">
        <v>766</v>
      </c>
      <c r="I50">
        <f t="shared" si="1"/>
        <v>0.11008644104003899</v>
      </c>
    </row>
    <row r="51" spans="1:9" x14ac:dyDescent="0.3">
      <c r="A51" t="s">
        <v>669</v>
      </c>
      <c r="B51">
        <v>500</v>
      </c>
      <c r="C51">
        <v>5</v>
      </c>
      <c r="D51">
        <v>4816</v>
      </c>
      <c r="E51">
        <v>4816</v>
      </c>
      <c r="F51">
        <v>4833</v>
      </c>
      <c r="G51" t="s">
        <v>767</v>
      </c>
      <c r="H51" t="s">
        <v>768</v>
      </c>
      <c r="I51">
        <f t="shared" si="1"/>
        <v>9.4301700592041002E-2</v>
      </c>
    </row>
    <row r="57" spans="1:9" x14ac:dyDescent="0.3">
      <c r="A57" t="s">
        <v>875</v>
      </c>
      <c r="B57">
        <f>AVERAGE(results_7_fusionné[tps_nb])</f>
        <v>45.608487005233698</v>
      </c>
    </row>
    <row r="58" spans="1:9" x14ac:dyDescent="0.3">
      <c r="A58" t="s">
        <v>874</v>
      </c>
      <c r="B58">
        <f>MAX(results_7_fusionné[Total profit])</f>
        <v>4839</v>
      </c>
    </row>
    <row r="60" spans="1:9" x14ac:dyDescent="0.3">
      <c r="A60" s="1" t="s">
        <v>870</v>
      </c>
      <c r="B60" t="s">
        <v>873</v>
      </c>
    </row>
    <row r="61" spans="1:9" x14ac:dyDescent="0.3">
      <c r="A61" s="2">
        <v>10</v>
      </c>
      <c r="B61" s="3">
        <v>4831.2</v>
      </c>
    </row>
    <row r="62" spans="1:9" x14ac:dyDescent="0.3">
      <c r="A62" s="2">
        <v>100</v>
      </c>
      <c r="B62" s="3">
        <v>4832.3999999999996</v>
      </c>
    </row>
    <row r="63" spans="1:9" x14ac:dyDescent="0.3">
      <c r="A63" s="2">
        <v>500</v>
      </c>
      <c r="B63" s="3">
        <v>4827.6000000000004</v>
      </c>
    </row>
    <row r="64" spans="1:9" x14ac:dyDescent="0.3">
      <c r="A64" s="2">
        <v>1000</v>
      </c>
      <c r="B64" s="3">
        <v>4831.2</v>
      </c>
    </row>
    <row r="65" spans="1:2" x14ac:dyDescent="0.3">
      <c r="A65" s="2">
        <v>5000</v>
      </c>
      <c r="B65" s="3">
        <v>4830</v>
      </c>
    </row>
    <row r="66" spans="1:2" x14ac:dyDescent="0.3">
      <c r="A66" s="2">
        <v>10000</v>
      </c>
      <c r="B66" s="3">
        <v>4831.8</v>
      </c>
    </row>
    <row r="67" spans="1:2" x14ac:dyDescent="0.3">
      <c r="A67" s="2">
        <v>50000</v>
      </c>
      <c r="B67" s="3">
        <v>4828.2</v>
      </c>
    </row>
    <row r="68" spans="1:2" x14ac:dyDescent="0.3">
      <c r="A68" s="2">
        <v>100000</v>
      </c>
      <c r="B68" s="3">
        <v>4830.6000000000004</v>
      </c>
    </row>
    <row r="69" spans="1:2" x14ac:dyDescent="0.3">
      <c r="A69" s="2">
        <v>500000</v>
      </c>
      <c r="B69" s="3">
        <v>4828.2</v>
      </c>
    </row>
    <row r="70" spans="1:2" x14ac:dyDescent="0.3">
      <c r="A70" s="2">
        <v>1000000</v>
      </c>
      <c r="B70" s="3">
        <v>4830.6000000000004</v>
      </c>
    </row>
    <row r="71" spans="1:2" x14ac:dyDescent="0.3">
      <c r="A71" s="2" t="s">
        <v>871</v>
      </c>
      <c r="B71" s="3">
        <v>4830.18</v>
      </c>
    </row>
    <row r="77" spans="1:2" x14ac:dyDescent="0.3">
      <c r="A77" s="1" t="s">
        <v>870</v>
      </c>
      <c r="B77" t="s">
        <v>873</v>
      </c>
    </row>
    <row r="78" spans="1:2" x14ac:dyDescent="0.3">
      <c r="A78" s="2">
        <v>1</v>
      </c>
      <c r="B78" s="3">
        <v>4829.3999999999996</v>
      </c>
    </row>
    <row r="79" spans="1:2" x14ac:dyDescent="0.3">
      <c r="A79" s="2">
        <v>5</v>
      </c>
      <c r="B79" s="3">
        <v>4830.3</v>
      </c>
    </row>
    <row r="80" spans="1:2" x14ac:dyDescent="0.3">
      <c r="A80" s="2">
        <v>10</v>
      </c>
      <c r="B80" s="3">
        <v>4829.1000000000004</v>
      </c>
    </row>
    <row r="81" spans="1:2" x14ac:dyDescent="0.3">
      <c r="A81" s="2">
        <v>15</v>
      </c>
      <c r="B81" s="3">
        <v>4831.8</v>
      </c>
    </row>
    <row r="82" spans="1:2" x14ac:dyDescent="0.3">
      <c r="A82" s="2">
        <v>20</v>
      </c>
      <c r="B82" s="3">
        <v>4830.3</v>
      </c>
    </row>
    <row r="83" spans="1:2" x14ac:dyDescent="0.3">
      <c r="A83" s="2" t="s">
        <v>871</v>
      </c>
      <c r="B83" s="3">
        <v>4830.18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D1194-DAC0-4738-B235-27CA0ADB943E}">
  <dimension ref="A1:I83"/>
  <sheetViews>
    <sheetView workbookViewId="0">
      <selection activeCell="H77" sqref="H77"/>
    </sheetView>
  </sheetViews>
  <sheetFormatPr baseColWidth="10" defaultRowHeight="14.4" x14ac:dyDescent="0.3"/>
  <cols>
    <col min="1" max="1" width="19.5546875" bestFit="1" customWidth="1"/>
    <col min="2" max="2" width="20.21875" bestFit="1" customWidth="1"/>
    <col min="3" max="3" width="19.33203125" bestFit="1" customWidth="1"/>
    <col min="4" max="4" width="11.6640625" bestFit="1" customWidth="1"/>
    <col min="5" max="5" width="13.109375" bestFit="1" customWidth="1"/>
    <col min="6" max="6" width="12.21875" bestFit="1" customWidth="1"/>
    <col min="7" max="7" width="18.88671875" bestFit="1" customWidth="1"/>
    <col min="8" max="8" width="62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876</v>
      </c>
    </row>
    <row r="2" spans="1:9" x14ac:dyDescent="0.3">
      <c r="A2" t="s">
        <v>769</v>
      </c>
      <c r="B2">
        <v>1000000</v>
      </c>
      <c r="C2">
        <v>1</v>
      </c>
      <c r="D2">
        <v>49297</v>
      </c>
      <c r="E2">
        <v>49297</v>
      </c>
      <c r="F2">
        <v>49404</v>
      </c>
      <c r="G2" t="s">
        <v>770</v>
      </c>
      <c r="H2" t="s">
        <v>771</v>
      </c>
      <c r="I2">
        <f t="shared" ref="I2:I33" si="0">IF(ISNUMBER(G2), G2, SUBSTITUTE(G2, ".", ",")*1)</f>
        <v>4208.4401817321695</v>
      </c>
    </row>
    <row r="3" spans="1:9" x14ac:dyDescent="0.3">
      <c r="A3" t="s">
        <v>769</v>
      </c>
      <c r="B3">
        <v>1000000</v>
      </c>
      <c r="C3">
        <v>10</v>
      </c>
      <c r="D3">
        <v>49297</v>
      </c>
      <c r="E3">
        <v>49297</v>
      </c>
      <c r="F3">
        <v>49398</v>
      </c>
      <c r="G3" t="s">
        <v>772</v>
      </c>
      <c r="H3" t="s">
        <v>773</v>
      </c>
      <c r="I3">
        <f t="shared" si="0"/>
        <v>5158.7929539680399</v>
      </c>
    </row>
    <row r="4" spans="1:9" x14ac:dyDescent="0.3">
      <c r="A4" t="s">
        <v>769</v>
      </c>
      <c r="B4">
        <v>1000000</v>
      </c>
      <c r="C4">
        <v>15</v>
      </c>
      <c r="D4">
        <v>49297</v>
      </c>
      <c r="E4">
        <v>49297</v>
      </c>
      <c r="F4">
        <v>49389</v>
      </c>
      <c r="G4" t="s">
        <v>774</v>
      </c>
      <c r="H4" t="s">
        <v>775</v>
      </c>
      <c r="I4">
        <f t="shared" si="0"/>
        <v>4466.5206916332199</v>
      </c>
    </row>
    <row r="5" spans="1:9" x14ac:dyDescent="0.3">
      <c r="A5" t="s">
        <v>769</v>
      </c>
      <c r="B5">
        <v>1000000</v>
      </c>
      <c r="C5">
        <v>20</v>
      </c>
      <c r="D5">
        <v>49297</v>
      </c>
      <c r="E5">
        <v>49297</v>
      </c>
      <c r="F5">
        <v>49410</v>
      </c>
      <c r="G5" t="s">
        <v>776</v>
      </c>
      <c r="H5" t="s">
        <v>777</v>
      </c>
      <c r="I5">
        <f t="shared" si="0"/>
        <v>4852.7183084487897</v>
      </c>
    </row>
    <row r="6" spans="1:9" x14ac:dyDescent="0.3">
      <c r="A6" t="s">
        <v>769</v>
      </c>
      <c r="B6">
        <v>1000000</v>
      </c>
      <c r="C6">
        <v>5</v>
      </c>
      <c r="D6">
        <v>49297</v>
      </c>
      <c r="E6">
        <v>49297</v>
      </c>
      <c r="F6">
        <v>49401</v>
      </c>
      <c r="G6" t="s">
        <v>778</v>
      </c>
      <c r="H6" t="s">
        <v>779</v>
      </c>
      <c r="I6">
        <f t="shared" si="0"/>
        <v>5057.3795461654599</v>
      </c>
    </row>
    <row r="7" spans="1:9" x14ac:dyDescent="0.3">
      <c r="A7" t="s">
        <v>769</v>
      </c>
      <c r="B7">
        <v>100000</v>
      </c>
      <c r="C7">
        <v>1</v>
      </c>
      <c r="D7">
        <v>49297</v>
      </c>
      <c r="E7">
        <v>49297</v>
      </c>
      <c r="F7">
        <v>49383</v>
      </c>
      <c r="G7" t="s">
        <v>780</v>
      </c>
      <c r="H7" t="s">
        <v>781</v>
      </c>
      <c r="I7">
        <f t="shared" si="0"/>
        <v>403.79353642463599</v>
      </c>
    </row>
    <row r="8" spans="1:9" x14ac:dyDescent="0.3">
      <c r="A8" t="s">
        <v>769</v>
      </c>
      <c r="B8">
        <v>100000</v>
      </c>
      <c r="C8">
        <v>10</v>
      </c>
      <c r="D8">
        <v>49297</v>
      </c>
      <c r="E8">
        <v>49297</v>
      </c>
      <c r="F8">
        <v>49398</v>
      </c>
      <c r="G8" t="s">
        <v>782</v>
      </c>
      <c r="H8" t="s">
        <v>783</v>
      </c>
      <c r="I8">
        <f t="shared" si="0"/>
        <v>415.23976778984002</v>
      </c>
    </row>
    <row r="9" spans="1:9" x14ac:dyDescent="0.3">
      <c r="A9" t="s">
        <v>769</v>
      </c>
      <c r="B9">
        <v>100000</v>
      </c>
      <c r="C9">
        <v>15</v>
      </c>
      <c r="D9">
        <v>49297</v>
      </c>
      <c r="E9">
        <v>49297</v>
      </c>
      <c r="F9">
        <v>49413</v>
      </c>
      <c r="G9" t="s">
        <v>784</v>
      </c>
      <c r="H9" t="s">
        <v>785</v>
      </c>
      <c r="I9">
        <f t="shared" si="0"/>
        <v>439.65127921104403</v>
      </c>
    </row>
    <row r="10" spans="1:9" x14ac:dyDescent="0.3">
      <c r="A10" t="s">
        <v>769</v>
      </c>
      <c r="B10">
        <v>100000</v>
      </c>
      <c r="C10">
        <v>20</v>
      </c>
      <c r="D10">
        <v>49297</v>
      </c>
      <c r="E10">
        <v>49297</v>
      </c>
      <c r="F10">
        <v>49389</v>
      </c>
      <c r="G10" t="s">
        <v>786</v>
      </c>
      <c r="H10" t="s">
        <v>787</v>
      </c>
      <c r="I10">
        <f t="shared" si="0"/>
        <v>400.746219873428</v>
      </c>
    </row>
    <row r="11" spans="1:9" x14ac:dyDescent="0.3">
      <c r="A11" t="s">
        <v>769</v>
      </c>
      <c r="B11">
        <v>100000</v>
      </c>
      <c r="C11">
        <v>5</v>
      </c>
      <c r="D11">
        <v>49297</v>
      </c>
      <c r="E11">
        <v>49297</v>
      </c>
      <c r="F11">
        <v>49404</v>
      </c>
      <c r="G11" t="s">
        <v>788</v>
      </c>
      <c r="H11" t="s">
        <v>789</v>
      </c>
      <c r="I11">
        <f t="shared" si="0"/>
        <v>406.70815134048399</v>
      </c>
    </row>
    <row r="12" spans="1:9" x14ac:dyDescent="0.3">
      <c r="A12" t="s">
        <v>769</v>
      </c>
      <c r="B12">
        <v>10000</v>
      </c>
      <c r="C12">
        <v>1</v>
      </c>
      <c r="D12">
        <v>49297</v>
      </c>
      <c r="E12">
        <v>49297</v>
      </c>
      <c r="F12">
        <v>49401</v>
      </c>
      <c r="G12" t="s">
        <v>790</v>
      </c>
      <c r="H12" t="s">
        <v>791</v>
      </c>
      <c r="I12">
        <f t="shared" si="0"/>
        <v>41.188793182372997</v>
      </c>
    </row>
    <row r="13" spans="1:9" x14ac:dyDescent="0.3">
      <c r="A13" t="s">
        <v>769</v>
      </c>
      <c r="B13">
        <v>10000</v>
      </c>
      <c r="C13">
        <v>10</v>
      </c>
      <c r="D13">
        <v>49297</v>
      </c>
      <c r="E13">
        <v>49297</v>
      </c>
      <c r="F13">
        <v>49389</v>
      </c>
      <c r="G13" t="s">
        <v>792</v>
      </c>
      <c r="H13" t="s">
        <v>793</v>
      </c>
      <c r="I13">
        <f t="shared" si="0"/>
        <v>43.566851854324298</v>
      </c>
    </row>
    <row r="14" spans="1:9" x14ac:dyDescent="0.3">
      <c r="A14" t="s">
        <v>769</v>
      </c>
      <c r="B14">
        <v>10000</v>
      </c>
      <c r="C14">
        <v>15</v>
      </c>
      <c r="D14">
        <v>49297</v>
      </c>
      <c r="E14">
        <v>49297</v>
      </c>
      <c r="F14">
        <v>49407</v>
      </c>
      <c r="G14" t="s">
        <v>794</v>
      </c>
      <c r="H14" t="s">
        <v>795</v>
      </c>
      <c r="I14">
        <f t="shared" si="0"/>
        <v>43.280831336975098</v>
      </c>
    </row>
    <row r="15" spans="1:9" x14ac:dyDescent="0.3">
      <c r="A15" t="s">
        <v>769</v>
      </c>
      <c r="B15">
        <v>10000</v>
      </c>
      <c r="C15">
        <v>20</v>
      </c>
      <c r="D15">
        <v>49297</v>
      </c>
      <c r="E15">
        <v>49297</v>
      </c>
      <c r="F15">
        <v>49404</v>
      </c>
      <c r="G15" t="s">
        <v>796</v>
      </c>
      <c r="H15" t="s">
        <v>797</v>
      </c>
      <c r="I15">
        <f t="shared" si="0"/>
        <v>46.897044181823702</v>
      </c>
    </row>
    <row r="16" spans="1:9" x14ac:dyDescent="0.3">
      <c r="A16" t="s">
        <v>769</v>
      </c>
      <c r="B16">
        <v>10000</v>
      </c>
      <c r="C16">
        <v>5</v>
      </c>
      <c r="D16">
        <v>49297</v>
      </c>
      <c r="E16">
        <v>49297</v>
      </c>
      <c r="F16">
        <v>49395</v>
      </c>
      <c r="G16" t="s">
        <v>798</v>
      </c>
      <c r="H16" t="s">
        <v>799</v>
      </c>
      <c r="I16">
        <f t="shared" si="0"/>
        <v>43.326387882232602</v>
      </c>
    </row>
    <row r="17" spans="1:9" x14ac:dyDescent="0.3">
      <c r="A17" t="s">
        <v>769</v>
      </c>
      <c r="B17">
        <v>1000</v>
      </c>
      <c r="C17">
        <v>1</v>
      </c>
      <c r="D17">
        <v>49297</v>
      </c>
      <c r="E17">
        <v>49297</v>
      </c>
      <c r="F17">
        <v>49407</v>
      </c>
      <c r="G17" t="s">
        <v>800</v>
      </c>
      <c r="H17" t="s">
        <v>801</v>
      </c>
      <c r="I17">
        <f t="shared" si="0"/>
        <v>4.6104233264923096</v>
      </c>
    </row>
    <row r="18" spans="1:9" x14ac:dyDescent="0.3">
      <c r="A18" t="s">
        <v>769</v>
      </c>
      <c r="B18">
        <v>1000</v>
      </c>
      <c r="C18">
        <v>10</v>
      </c>
      <c r="D18">
        <v>49297</v>
      </c>
      <c r="E18">
        <v>49297</v>
      </c>
      <c r="F18">
        <v>49398</v>
      </c>
      <c r="G18" t="s">
        <v>802</v>
      </c>
      <c r="H18" t="s">
        <v>803</v>
      </c>
      <c r="I18">
        <f t="shared" si="0"/>
        <v>4.0036492347717196</v>
      </c>
    </row>
    <row r="19" spans="1:9" x14ac:dyDescent="0.3">
      <c r="A19" t="s">
        <v>769</v>
      </c>
      <c r="B19">
        <v>1000</v>
      </c>
      <c r="C19">
        <v>15</v>
      </c>
      <c r="D19">
        <v>49297</v>
      </c>
      <c r="E19">
        <v>49297</v>
      </c>
      <c r="F19">
        <v>49401</v>
      </c>
      <c r="G19" t="s">
        <v>804</v>
      </c>
      <c r="H19" t="s">
        <v>805</v>
      </c>
      <c r="I19">
        <f t="shared" si="0"/>
        <v>4.8431360721588099</v>
      </c>
    </row>
    <row r="20" spans="1:9" x14ac:dyDescent="0.3">
      <c r="A20" t="s">
        <v>769</v>
      </c>
      <c r="B20">
        <v>1000</v>
      </c>
      <c r="C20">
        <v>20</v>
      </c>
      <c r="D20">
        <v>49297</v>
      </c>
      <c r="E20">
        <v>49297</v>
      </c>
      <c r="F20">
        <v>49410</v>
      </c>
      <c r="G20" t="s">
        <v>806</v>
      </c>
      <c r="H20" t="s">
        <v>807</v>
      </c>
      <c r="I20">
        <f t="shared" si="0"/>
        <v>4.32708239555358</v>
      </c>
    </row>
    <row r="21" spans="1:9" x14ac:dyDescent="0.3">
      <c r="A21" t="s">
        <v>769</v>
      </c>
      <c r="B21">
        <v>1000</v>
      </c>
      <c r="C21">
        <v>5</v>
      </c>
      <c r="D21">
        <v>49297</v>
      </c>
      <c r="E21">
        <v>49297</v>
      </c>
      <c r="F21">
        <v>49398</v>
      </c>
      <c r="G21" t="s">
        <v>808</v>
      </c>
      <c r="H21" t="s">
        <v>809</v>
      </c>
      <c r="I21">
        <f t="shared" si="0"/>
        <v>4.3736081123351997</v>
      </c>
    </row>
    <row r="22" spans="1:9" x14ac:dyDescent="0.3">
      <c r="A22" t="s">
        <v>769</v>
      </c>
      <c r="B22">
        <v>100</v>
      </c>
      <c r="C22">
        <v>1</v>
      </c>
      <c r="D22">
        <v>49297</v>
      </c>
      <c r="E22">
        <v>49297</v>
      </c>
      <c r="F22">
        <v>49380</v>
      </c>
      <c r="G22" t="s">
        <v>810</v>
      </c>
      <c r="H22" t="s">
        <v>811</v>
      </c>
      <c r="I22">
        <f t="shared" si="0"/>
        <v>0.44035577774047802</v>
      </c>
    </row>
    <row r="23" spans="1:9" x14ac:dyDescent="0.3">
      <c r="A23" t="s">
        <v>769</v>
      </c>
      <c r="B23">
        <v>100</v>
      </c>
      <c r="C23">
        <v>10</v>
      </c>
      <c r="D23">
        <v>49297</v>
      </c>
      <c r="E23">
        <v>49297</v>
      </c>
      <c r="F23">
        <v>49392</v>
      </c>
      <c r="G23" t="s">
        <v>812</v>
      </c>
      <c r="H23" t="s">
        <v>813</v>
      </c>
      <c r="I23">
        <f t="shared" si="0"/>
        <v>0.49058294296264598</v>
      </c>
    </row>
    <row r="24" spans="1:9" x14ac:dyDescent="0.3">
      <c r="A24" t="s">
        <v>769</v>
      </c>
      <c r="B24">
        <v>100</v>
      </c>
      <c r="C24">
        <v>15</v>
      </c>
      <c r="D24">
        <v>49297</v>
      </c>
      <c r="E24">
        <v>49297</v>
      </c>
      <c r="F24">
        <v>49404</v>
      </c>
      <c r="G24" t="s">
        <v>814</v>
      </c>
      <c r="H24" t="s">
        <v>815</v>
      </c>
      <c r="I24">
        <f t="shared" si="0"/>
        <v>0.48470163345336897</v>
      </c>
    </row>
    <row r="25" spans="1:9" x14ac:dyDescent="0.3">
      <c r="A25" t="s">
        <v>769</v>
      </c>
      <c r="B25">
        <v>100</v>
      </c>
      <c r="C25">
        <v>20</v>
      </c>
      <c r="D25">
        <v>49297</v>
      </c>
      <c r="E25">
        <v>49297</v>
      </c>
      <c r="F25">
        <v>49401</v>
      </c>
      <c r="G25" t="s">
        <v>816</v>
      </c>
      <c r="H25" t="s">
        <v>817</v>
      </c>
      <c r="I25">
        <f t="shared" si="0"/>
        <v>0.54313993453979403</v>
      </c>
    </row>
    <row r="26" spans="1:9" x14ac:dyDescent="0.3">
      <c r="A26" t="s">
        <v>769</v>
      </c>
      <c r="B26">
        <v>100</v>
      </c>
      <c r="C26">
        <v>5</v>
      </c>
      <c r="D26">
        <v>49297</v>
      </c>
      <c r="E26">
        <v>49297</v>
      </c>
      <c r="F26">
        <v>49395</v>
      </c>
      <c r="G26" t="s">
        <v>818</v>
      </c>
      <c r="H26" t="s">
        <v>819</v>
      </c>
      <c r="I26">
        <f t="shared" si="0"/>
        <v>0.77882862091064398</v>
      </c>
    </row>
    <row r="27" spans="1:9" x14ac:dyDescent="0.3">
      <c r="A27" t="s">
        <v>769</v>
      </c>
      <c r="B27">
        <v>10</v>
      </c>
      <c r="C27">
        <v>1</v>
      </c>
      <c r="D27">
        <v>49297</v>
      </c>
      <c r="E27">
        <v>49297</v>
      </c>
      <c r="F27">
        <v>49425</v>
      </c>
      <c r="G27" t="s">
        <v>820</v>
      </c>
      <c r="H27" t="s">
        <v>821</v>
      </c>
      <c r="I27">
        <f t="shared" si="0"/>
        <v>9.3229770660400293E-2</v>
      </c>
    </row>
    <row r="28" spans="1:9" x14ac:dyDescent="0.3">
      <c r="A28" t="s">
        <v>769</v>
      </c>
      <c r="B28">
        <v>10</v>
      </c>
      <c r="C28">
        <v>10</v>
      </c>
      <c r="D28">
        <v>49297</v>
      </c>
      <c r="E28">
        <v>49297</v>
      </c>
      <c r="F28">
        <v>49407</v>
      </c>
      <c r="G28" t="s">
        <v>822</v>
      </c>
      <c r="H28" t="s">
        <v>823</v>
      </c>
      <c r="I28">
        <f t="shared" si="0"/>
        <v>4.9539327621459898E-2</v>
      </c>
    </row>
    <row r="29" spans="1:9" x14ac:dyDescent="0.3">
      <c r="A29" t="s">
        <v>769</v>
      </c>
      <c r="B29">
        <v>10</v>
      </c>
      <c r="C29">
        <v>15</v>
      </c>
      <c r="D29">
        <v>49297</v>
      </c>
      <c r="E29">
        <v>49297</v>
      </c>
      <c r="F29">
        <v>49395</v>
      </c>
      <c r="G29" t="s">
        <v>824</v>
      </c>
      <c r="H29" t="s">
        <v>825</v>
      </c>
      <c r="I29">
        <f t="shared" si="0"/>
        <v>9.5548152923583901E-2</v>
      </c>
    </row>
    <row r="30" spans="1:9" x14ac:dyDescent="0.3">
      <c r="A30" t="s">
        <v>769</v>
      </c>
      <c r="B30">
        <v>10</v>
      </c>
      <c r="C30">
        <v>20</v>
      </c>
      <c r="D30">
        <v>49297</v>
      </c>
      <c r="E30">
        <v>49297</v>
      </c>
      <c r="F30">
        <v>49413</v>
      </c>
      <c r="G30" t="s">
        <v>826</v>
      </c>
      <c r="H30" t="s">
        <v>827</v>
      </c>
      <c r="I30">
        <f t="shared" si="0"/>
        <v>5.0633192062377902E-2</v>
      </c>
    </row>
    <row r="31" spans="1:9" x14ac:dyDescent="0.3">
      <c r="A31" t="s">
        <v>769</v>
      </c>
      <c r="B31">
        <v>10</v>
      </c>
      <c r="C31">
        <v>5</v>
      </c>
      <c r="D31">
        <v>49297</v>
      </c>
      <c r="E31">
        <v>49297</v>
      </c>
      <c r="F31">
        <v>49407</v>
      </c>
      <c r="G31" t="s">
        <v>828</v>
      </c>
      <c r="H31" t="s">
        <v>829</v>
      </c>
      <c r="I31">
        <f t="shared" si="0"/>
        <v>5.2006721496581997E-2</v>
      </c>
    </row>
    <row r="32" spans="1:9" x14ac:dyDescent="0.3">
      <c r="A32" t="s">
        <v>769</v>
      </c>
      <c r="B32">
        <v>500000</v>
      </c>
      <c r="C32">
        <v>1</v>
      </c>
      <c r="D32">
        <v>49297</v>
      </c>
      <c r="E32">
        <v>49297</v>
      </c>
      <c r="F32">
        <v>49404</v>
      </c>
      <c r="G32" t="s">
        <v>830</v>
      </c>
      <c r="H32" t="s">
        <v>831</v>
      </c>
      <c r="I32">
        <f t="shared" si="0"/>
        <v>2170.3655135631502</v>
      </c>
    </row>
    <row r="33" spans="1:9" x14ac:dyDescent="0.3">
      <c r="A33" t="s">
        <v>769</v>
      </c>
      <c r="B33">
        <v>500000</v>
      </c>
      <c r="C33">
        <v>10</v>
      </c>
      <c r="D33">
        <v>49297</v>
      </c>
      <c r="E33">
        <v>49297</v>
      </c>
      <c r="F33">
        <v>49410</v>
      </c>
      <c r="G33" t="s">
        <v>832</v>
      </c>
      <c r="H33" t="s">
        <v>833</v>
      </c>
      <c r="I33">
        <f t="shared" si="0"/>
        <v>2254.4875533580698</v>
      </c>
    </row>
    <row r="34" spans="1:9" x14ac:dyDescent="0.3">
      <c r="A34" t="s">
        <v>769</v>
      </c>
      <c r="B34">
        <v>500000</v>
      </c>
      <c r="C34">
        <v>15</v>
      </c>
      <c r="D34">
        <v>49297</v>
      </c>
      <c r="E34">
        <v>49297</v>
      </c>
      <c r="F34">
        <v>49401</v>
      </c>
      <c r="G34" t="s">
        <v>834</v>
      </c>
      <c r="H34" t="s">
        <v>835</v>
      </c>
      <c r="I34">
        <f t="shared" ref="I34:I51" si="1">IF(ISNUMBER(G34), G34, SUBSTITUTE(G34, ".", ",")*1)</f>
        <v>2452.7552900314299</v>
      </c>
    </row>
    <row r="35" spans="1:9" x14ac:dyDescent="0.3">
      <c r="A35" t="s">
        <v>769</v>
      </c>
      <c r="B35">
        <v>500000</v>
      </c>
      <c r="C35">
        <v>20</v>
      </c>
      <c r="D35">
        <v>49297</v>
      </c>
      <c r="E35">
        <v>49297</v>
      </c>
      <c r="F35">
        <v>49413</v>
      </c>
      <c r="G35" t="s">
        <v>836</v>
      </c>
      <c r="H35" t="s">
        <v>837</v>
      </c>
      <c r="I35">
        <f t="shared" si="1"/>
        <v>2202.8064403533899</v>
      </c>
    </row>
    <row r="36" spans="1:9" x14ac:dyDescent="0.3">
      <c r="A36" t="s">
        <v>769</v>
      </c>
      <c r="B36">
        <v>500000</v>
      </c>
      <c r="C36">
        <v>5</v>
      </c>
      <c r="D36">
        <v>49297</v>
      </c>
      <c r="E36">
        <v>49297</v>
      </c>
      <c r="F36">
        <v>49407</v>
      </c>
      <c r="G36" t="s">
        <v>838</v>
      </c>
      <c r="H36" t="s">
        <v>839</v>
      </c>
      <c r="I36">
        <f t="shared" si="1"/>
        <v>2079.39257240295</v>
      </c>
    </row>
    <row r="37" spans="1:9" x14ac:dyDescent="0.3">
      <c r="A37" t="s">
        <v>769</v>
      </c>
      <c r="B37">
        <v>50000</v>
      </c>
      <c r="C37">
        <v>1</v>
      </c>
      <c r="D37">
        <v>49297</v>
      </c>
      <c r="E37">
        <v>49297</v>
      </c>
      <c r="F37">
        <v>49386</v>
      </c>
      <c r="G37" t="s">
        <v>840</v>
      </c>
      <c r="H37" t="s">
        <v>841</v>
      </c>
      <c r="I37">
        <f t="shared" si="1"/>
        <v>205.44485759735099</v>
      </c>
    </row>
    <row r="38" spans="1:9" x14ac:dyDescent="0.3">
      <c r="A38" t="s">
        <v>769</v>
      </c>
      <c r="B38">
        <v>50000</v>
      </c>
      <c r="C38">
        <v>10</v>
      </c>
      <c r="D38">
        <v>49297</v>
      </c>
      <c r="E38">
        <v>49297</v>
      </c>
      <c r="F38">
        <v>49395</v>
      </c>
      <c r="G38" t="s">
        <v>842</v>
      </c>
      <c r="H38" t="s">
        <v>843</v>
      </c>
      <c r="I38">
        <f t="shared" si="1"/>
        <v>227.998988866806</v>
      </c>
    </row>
    <row r="39" spans="1:9" x14ac:dyDescent="0.3">
      <c r="A39" t="s">
        <v>769</v>
      </c>
      <c r="B39">
        <v>50000</v>
      </c>
      <c r="C39">
        <v>15</v>
      </c>
      <c r="D39">
        <v>49297</v>
      </c>
      <c r="E39">
        <v>49297</v>
      </c>
      <c r="F39">
        <v>49401</v>
      </c>
      <c r="G39" t="s">
        <v>844</v>
      </c>
      <c r="H39" t="s">
        <v>845</v>
      </c>
      <c r="I39">
        <f t="shared" si="1"/>
        <v>214.359159231185</v>
      </c>
    </row>
    <row r="40" spans="1:9" x14ac:dyDescent="0.3">
      <c r="A40" t="s">
        <v>769</v>
      </c>
      <c r="B40">
        <v>50000</v>
      </c>
      <c r="C40">
        <v>20</v>
      </c>
      <c r="D40">
        <v>49297</v>
      </c>
      <c r="E40">
        <v>49297</v>
      </c>
      <c r="F40">
        <v>49398</v>
      </c>
      <c r="G40" t="s">
        <v>846</v>
      </c>
      <c r="H40" t="s">
        <v>847</v>
      </c>
      <c r="I40">
        <f t="shared" si="1"/>
        <v>237.086085796356</v>
      </c>
    </row>
    <row r="41" spans="1:9" x14ac:dyDescent="0.3">
      <c r="A41" t="s">
        <v>769</v>
      </c>
      <c r="B41">
        <v>50000</v>
      </c>
      <c r="C41">
        <v>5</v>
      </c>
      <c r="D41">
        <v>49297</v>
      </c>
      <c r="E41">
        <v>49297</v>
      </c>
      <c r="F41">
        <v>49398</v>
      </c>
      <c r="G41" t="s">
        <v>848</v>
      </c>
      <c r="H41" t="s">
        <v>849</v>
      </c>
      <c r="I41">
        <f t="shared" si="1"/>
        <v>217.67868542671201</v>
      </c>
    </row>
    <row r="42" spans="1:9" x14ac:dyDescent="0.3">
      <c r="A42" t="s">
        <v>769</v>
      </c>
      <c r="B42">
        <v>5000</v>
      </c>
      <c r="C42">
        <v>1</v>
      </c>
      <c r="D42">
        <v>49297</v>
      </c>
      <c r="E42">
        <v>49297</v>
      </c>
      <c r="F42">
        <v>49413</v>
      </c>
      <c r="G42" t="s">
        <v>850</v>
      </c>
      <c r="H42" t="s">
        <v>851</v>
      </c>
      <c r="I42">
        <f t="shared" si="1"/>
        <v>21.737726449966399</v>
      </c>
    </row>
    <row r="43" spans="1:9" x14ac:dyDescent="0.3">
      <c r="A43" t="s">
        <v>769</v>
      </c>
      <c r="B43">
        <v>5000</v>
      </c>
      <c r="C43">
        <v>10</v>
      </c>
      <c r="D43">
        <v>49297</v>
      </c>
      <c r="E43">
        <v>49297</v>
      </c>
      <c r="F43">
        <v>49410</v>
      </c>
      <c r="G43" t="s">
        <v>852</v>
      </c>
      <c r="H43" t="s">
        <v>853</v>
      </c>
      <c r="I43">
        <f t="shared" si="1"/>
        <v>21.074001073837199</v>
      </c>
    </row>
    <row r="44" spans="1:9" x14ac:dyDescent="0.3">
      <c r="A44" t="s">
        <v>769</v>
      </c>
      <c r="B44">
        <v>5000</v>
      </c>
      <c r="C44">
        <v>15</v>
      </c>
      <c r="D44">
        <v>49297</v>
      </c>
      <c r="E44">
        <v>49297</v>
      </c>
      <c r="F44">
        <v>49416</v>
      </c>
      <c r="G44" t="s">
        <v>854</v>
      </c>
      <c r="H44" t="s">
        <v>855</v>
      </c>
      <c r="I44">
        <f t="shared" si="1"/>
        <v>22.0466401576995</v>
      </c>
    </row>
    <row r="45" spans="1:9" x14ac:dyDescent="0.3">
      <c r="A45" t="s">
        <v>769</v>
      </c>
      <c r="B45">
        <v>5000</v>
      </c>
      <c r="C45">
        <v>20</v>
      </c>
      <c r="D45">
        <v>49297</v>
      </c>
      <c r="E45">
        <v>49297</v>
      </c>
      <c r="F45">
        <v>49386</v>
      </c>
      <c r="G45" t="s">
        <v>856</v>
      </c>
      <c r="H45" t="s">
        <v>857</v>
      </c>
      <c r="I45">
        <f t="shared" si="1"/>
        <v>19.0476908683776</v>
      </c>
    </row>
    <row r="46" spans="1:9" x14ac:dyDescent="0.3">
      <c r="A46" t="s">
        <v>769</v>
      </c>
      <c r="B46">
        <v>5000</v>
      </c>
      <c r="C46">
        <v>5</v>
      </c>
      <c r="D46">
        <v>49297</v>
      </c>
      <c r="E46">
        <v>49297</v>
      </c>
      <c r="F46">
        <v>49401</v>
      </c>
      <c r="G46" t="s">
        <v>858</v>
      </c>
      <c r="H46" t="s">
        <v>859</v>
      </c>
      <c r="I46">
        <f t="shared" si="1"/>
        <v>21.248211383819498</v>
      </c>
    </row>
    <row r="47" spans="1:9" x14ac:dyDescent="0.3">
      <c r="A47" t="s">
        <v>769</v>
      </c>
      <c r="B47">
        <v>500</v>
      </c>
      <c r="C47">
        <v>1</v>
      </c>
      <c r="D47">
        <v>49297</v>
      </c>
      <c r="E47">
        <v>49297</v>
      </c>
      <c r="F47">
        <v>49410</v>
      </c>
      <c r="G47" t="s">
        <v>860</v>
      </c>
      <c r="H47" t="s">
        <v>861</v>
      </c>
      <c r="I47">
        <f t="shared" si="1"/>
        <v>2.1409549713134699</v>
      </c>
    </row>
    <row r="48" spans="1:9" x14ac:dyDescent="0.3">
      <c r="A48" t="s">
        <v>769</v>
      </c>
      <c r="B48">
        <v>500</v>
      </c>
      <c r="C48">
        <v>10</v>
      </c>
      <c r="D48">
        <v>49297</v>
      </c>
      <c r="E48">
        <v>49297</v>
      </c>
      <c r="F48">
        <v>49407</v>
      </c>
      <c r="G48" t="s">
        <v>862</v>
      </c>
      <c r="H48" t="s">
        <v>863</v>
      </c>
      <c r="I48">
        <f t="shared" si="1"/>
        <v>2.25661897659301</v>
      </c>
    </row>
    <row r="49" spans="1:9" x14ac:dyDescent="0.3">
      <c r="A49" t="s">
        <v>769</v>
      </c>
      <c r="B49">
        <v>500</v>
      </c>
      <c r="C49">
        <v>15</v>
      </c>
      <c r="D49">
        <v>49297</v>
      </c>
      <c r="E49">
        <v>49297</v>
      </c>
      <c r="F49">
        <v>49398</v>
      </c>
      <c r="G49" t="s">
        <v>864</v>
      </c>
      <c r="H49" t="s">
        <v>865</v>
      </c>
      <c r="I49">
        <f t="shared" si="1"/>
        <v>2.2005980014800999</v>
      </c>
    </row>
    <row r="50" spans="1:9" x14ac:dyDescent="0.3">
      <c r="A50" t="s">
        <v>769</v>
      </c>
      <c r="B50">
        <v>500</v>
      </c>
      <c r="C50">
        <v>20</v>
      </c>
      <c r="D50">
        <v>49297</v>
      </c>
      <c r="E50">
        <v>49297</v>
      </c>
      <c r="F50">
        <v>49374</v>
      </c>
      <c r="G50" t="s">
        <v>866</v>
      </c>
      <c r="H50" t="s">
        <v>867</v>
      </c>
      <c r="I50">
        <f t="shared" si="1"/>
        <v>2.0479564666747998</v>
      </c>
    </row>
    <row r="51" spans="1:9" x14ac:dyDescent="0.3">
      <c r="A51" t="s">
        <v>769</v>
      </c>
      <c r="B51">
        <v>500</v>
      </c>
      <c r="C51">
        <v>5</v>
      </c>
      <c r="D51">
        <v>49297</v>
      </c>
      <c r="E51">
        <v>49297</v>
      </c>
      <c r="F51">
        <v>49410</v>
      </c>
      <c r="G51" t="s">
        <v>868</v>
      </c>
      <c r="H51" t="s">
        <v>869</v>
      </c>
      <c r="I51">
        <f t="shared" si="1"/>
        <v>2.1951196193695002</v>
      </c>
    </row>
    <row r="57" spans="1:9" x14ac:dyDescent="0.3">
      <c r="A57" t="s">
        <v>875</v>
      </c>
      <c r="B57">
        <f>AVERAGE(results_8_fusionné[tps_nb])</f>
        <v>768.63715349674123</v>
      </c>
    </row>
    <row r="58" spans="1:9" x14ac:dyDescent="0.3">
      <c r="A58" t="s">
        <v>874</v>
      </c>
      <c r="B58">
        <f>MAX(results_8_fusionné[Total profit])</f>
        <v>49425</v>
      </c>
    </row>
    <row r="60" spans="1:9" x14ac:dyDescent="0.3">
      <c r="A60" s="1" t="s">
        <v>870</v>
      </c>
      <c r="B60" t="s">
        <v>873</v>
      </c>
    </row>
    <row r="61" spans="1:9" x14ac:dyDescent="0.3">
      <c r="A61" s="2">
        <v>10</v>
      </c>
      <c r="B61" s="3">
        <v>49409.4</v>
      </c>
    </row>
    <row r="62" spans="1:9" x14ac:dyDescent="0.3">
      <c r="A62" s="2">
        <v>100</v>
      </c>
      <c r="B62" s="3">
        <v>49394.400000000001</v>
      </c>
    </row>
    <row r="63" spans="1:9" x14ac:dyDescent="0.3">
      <c r="A63" s="2">
        <v>500</v>
      </c>
      <c r="B63" s="3">
        <v>49399.8</v>
      </c>
    </row>
    <row r="64" spans="1:9" x14ac:dyDescent="0.3">
      <c r="A64" s="2">
        <v>1000</v>
      </c>
      <c r="B64" s="3">
        <v>49402.8</v>
      </c>
    </row>
    <row r="65" spans="1:2" x14ac:dyDescent="0.3">
      <c r="A65" s="2">
        <v>5000</v>
      </c>
      <c r="B65" s="3">
        <v>49405.2</v>
      </c>
    </row>
    <row r="66" spans="1:2" x14ac:dyDescent="0.3">
      <c r="A66" s="2">
        <v>10000</v>
      </c>
      <c r="B66" s="3">
        <v>49399.199999999997</v>
      </c>
    </row>
    <row r="67" spans="1:2" x14ac:dyDescent="0.3">
      <c r="A67" s="2">
        <v>50000</v>
      </c>
      <c r="B67" s="3">
        <v>49395.6</v>
      </c>
    </row>
    <row r="68" spans="1:2" x14ac:dyDescent="0.3">
      <c r="A68" s="2">
        <v>100000</v>
      </c>
      <c r="B68" s="3">
        <v>49397.4</v>
      </c>
    </row>
    <row r="69" spans="1:2" x14ac:dyDescent="0.3">
      <c r="A69" s="2">
        <v>500000</v>
      </c>
      <c r="B69" s="3">
        <v>49407</v>
      </c>
    </row>
    <row r="70" spans="1:2" x14ac:dyDescent="0.3">
      <c r="A70" s="2">
        <v>1000000</v>
      </c>
      <c r="B70" s="3">
        <v>49400.4</v>
      </c>
    </row>
    <row r="71" spans="1:2" x14ac:dyDescent="0.3">
      <c r="A71" s="2" t="s">
        <v>871</v>
      </c>
      <c r="B71" s="3">
        <v>49401.120000000003</v>
      </c>
    </row>
    <row r="77" spans="1:2" x14ac:dyDescent="0.3">
      <c r="A77" s="1" t="s">
        <v>870</v>
      </c>
      <c r="B77" t="s">
        <v>873</v>
      </c>
    </row>
    <row r="78" spans="1:2" x14ac:dyDescent="0.3">
      <c r="A78" s="2">
        <v>1</v>
      </c>
      <c r="B78" s="3">
        <v>49401.3</v>
      </c>
    </row>
    <row r="79" spans="1:2" x14ac:dyDescent="0.3">
      <c r="A79" s="2">
        <v>5</v>
      </c>
      <c r="B79" s="3">
        <v>49401.599999999999</v>
      </c>
    </row>
    <row r="80" spans="1:2" x14ac:dyDescent="0.3">
      <c r="A80" s="2">
        <v>10</v>
      </c>
      <c r="B80" s="3">
        <v>49400.4</v>
      </c>
    </row>
    <row r="81" spans="1:2" x14ac:dyDescent="0.3">
      <c r="A81" s="2">
        <v>15</v>
      </c>
      <c r="B81" s="3">
        <v>49402.5</v>
      </c>
    </row>
    <row r="82" spans="1:2" x14ac:dyDescent="0.3">
      <c r="A82" s="2">
        <v>20</v>
      </c>
      <c r="B82" s="3">
        <v>49399.8</v>
      </c>
    </row>
    <row r="83" spans="1:2" x14ac:dyDescent="0.3">
      <c r="A83" s="2" t="s">
        <v>871</v>
      </c>
      <c r="B83" s="3">
        <v>49401.120000000003</v>
      </c>
    </row>
  </sheetData>
  <pageMargins left="0.7" right="0.7" top="0.75" bottom="0.75" header="0.3" footer="0.3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E4EB8B-C823-45F5-86CF-199E2EA4D5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results_0_fusionné</vt:lpstr>
      <vt:lpstr>results_1_fusionné</vt:lpstr>
      <vt:lpstr>results_2_fusionné</vt:lpstr>
      <vt:lpstr>results_3_fusionné</vt:lpstr>
      <vt:lpstr>results_4_fusionné</vt:lpstr>
      <vt:lpstr>results_5_fusionné</vt:lpstr>
      <vt:lpstr>results_6_fusionné</vt:lpstr>
      <vt:lpstr>results_7_fusionné</vt:lpstr>
      <vt:lpstr>results_8_fusionné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AUJOGUES dit BARON</dc:creator>
  <cp:lastModifiedBy>Robin AUJOGUES dit BARON</cp:lastModifiedBy>
  <dcterms:created xsi:type="dcterms:W3CDTF">2025-04-04T06:25:58Z</dcterms:created>
  <dcterms:modified xsi:type="dcterms:W3CDTF">2025-04-10T19:28:10Z</dcterms:modified>
</cp:coreProperties>
</file>